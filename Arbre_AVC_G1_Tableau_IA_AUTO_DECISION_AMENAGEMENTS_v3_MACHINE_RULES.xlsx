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DECISION_TREE" sheetId="2" state="visible" r:id="rId2"/>
    <sheet xmlns:r="http://schemas.openxmlformats.org/officeDocument/2006/relationships" name="RULES" sheetId="3" state="visible" r:id="rId3"/>
    <sheet xmlns:r="http://schemas.openxmlformats.org/officeDocument/2006/relationships" name="DECISIONS" sheetId="4" state="visible" r:id="rId4"/>
    <sheet xmlns:r="http://schemas.openxmlformats.org/officeDocument/2006/relationships" name="PATIENT_CASE" sheetId="5" state="visible" r:id="rId5"/>
    <sheet xmlns:r="http://schemas.openxmlformats.org/officeDocument/2006/relationships" name="ACCOMMODATIONS_REFERENCE" sheetId="6" state="visible" r:id="rId6"/>
    <sheet xmlns:r="http://schemas.openxmlformats.org/officeDocument/2006/relationships" name="EXPERT_WHATSAPP_RULES" sheetId="7" state="visible" r:id="rId7"/>
    <sheet xmlns:r="http://schemas.openxmlformats.org/officeDocument/2006/relationships" name="UI_SNIPPETS" sheetId="8" state="visible" r:id="rId8"/>
    <sheet xmlns:r="http://schemas.openxmlformats.org/officeDocument/2006/relationships" name="MACHINE_RULES" sheetId="9" state="visible" r:id="rId9"/>
    <sheet xmlns:r="http://schemas.openxmlformats.org/officeDocument/2006/relationships" name="MACHINE_FAC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4" customWidth="1" min="3" max="3"/>
    <col width="70" customWidth="1" min="4" max="4"/>
  </cols>
  <sheetData>
    <row r="1">
      <c r="A1" s="1" t="inlineStr">
        <is>
          <t>Key</t>
        </is>
      </c>
      <c r="B1" s="1" t="inlineStr">
        <is>
          <t>Value</t>
        </is>
      </c>
      <c r="C1" s="1" t="inlineStr">
        <is>
          <t>Type</t>
        </is>
      </c>
      <c r="D1" s="1" t="inlineStr">
        <is>
          <t>Allowed Values / Notes</t>
        </is>
      </c>
    </row>
    <row r="2">
      <c r="A2" s="2" t="inlineStr">
        <is>
          <t>DELAI_MIN_POST_AVC_MOIS</t>
        </is>
      </c>
      <c r="B2" s="2" t="n">
        <v>6</v>
      </c>
      <c r="C2" s="2" t="inlineStr">
        <is>
          <t>number</t>
        </is>
      </c>
      <c r="D2" s="2" t="inlineStr">
        <is>
          <t>Délai minimal avant réévaluation/possible reprise (par défaut 6 mois dans ton arbre).</t>
        </is>
      </c>
    </row>
    <row r="3">
      <c r="A3" s="2" t="inlineStr">
        <is>
          <t>DUREE_APTE_TEMP</t>
        </is>
      </c>
      <c r="B3" s="2" t="inlineStr">
        <is>
          <t>6 mois</t>
        </is>
      </c>
      <c r="C3" s="2" t="inlineStr">
        <is>
          <t>dropdown</t>
        </is>
      </c>
      <c r="D3" s="2" t="inlineStr">
        <is>
          <t>6 mois;1 an;2 ans;5 ans</t>
        </is>
      </c>
    </row>
    <row r="4">
      <c r="A4" s="2" t="inlineStr">
        <is>
          <t>DUREE_INAPTE_TEMP</t>
        </is>
      </c>
      <c r="B4" s="2" t="inlineStr">
        <is>
          <t>6 mois</t>
        </is>
      </c>
      <c r="C4" s="2" t="inlineStr">
        <is>
          <t>dropdown</t>
        </is>
      </c>
      <c r="D4" s="2" t="inlineStr">
        <is>
          <t>1 mois;6 semaines;3 mois;6 mois;1 an</t>
        </is>
      </c>
    </row>
    <row r="5">
      <c r="A5" s="2" t="inlineStr">
        <is>
          <t>GROUPE_PERMIS</t>
        </is>
      </c>
      <c r="B5" s="2" t="inlineStr">
        <is>
          <t>G1</t>
        </is>
      </c>
      <c r="C5" s="2" t="inlineStr">
        <is>
          <t>dropdown</t>
        </is>
      </c>
      <c r="D5" s="2" t="inlineStr">
        <is>
          <t>G1;G2</t>
        </is>
      </c>
    </row>
    <row r="6">
      <c r="A6" s="2" t="inlineStr">
        <is>
          <t>RECO_MIN_REEVAL_WEEKS</t>
        </is>
      </c>
      <c r="B6" s="2" t="inlineStr">
        <is>
          <t>4-6</t>
        </is>
      </c>
      <c r="C6" s="2" t="inlineStr">
        <is>
          <t>Recommandation experte (WhatsApp) : éviter décision immédiate ; revoir à 4-6 semaines si doute/phase post-aiguë.</t>
        </is>
      </c>
    </row>
    <row r="7">
      <c r="A7" s="2" t="inlineStr">
        <is>
          <t>PRINCIPE_STABILISATION</t>
        </is>
      </c>
      <c r="B7" s="2" t="inlineStr">
        <is>
          <t>Etat stabilisé requis</t>
        </is>
      </c>
      <c r="C7" s="2" t="inlineStr">
        <is>
          <t>Principe clé : pas de délai chiffré officiel ; c'est la stabilisation clinique qui fait foi (Arrêté 28/03/2022, art 4.4.3/4.4.3.2).</t>
        </is>
      </c>
    </row>
    <row r="8">
      <c r="A8" s="2" t="inlineStr">
        <is>
          <t>NOTE_RESPONSABILITE_MA</t>
        </is>
      </c>
      <c r="B8" s="2" t="inlineStr">
        <is>
          <t>Signature engage le MA</t>
        </is>
      </c>
      <c r="C8" s="2" t="inlineStr">
        <is>
          <t>Rappel médico-légal : seul le médecin agréé signataire du CERFA est responsable ; l'avis spécialiste ne décharge pas.</t>
        </is>
      </c>
    </row>
    <row r="9">
      <c r="A9" s="2" t="inlineStr">
        <is>
          <t>NOTE_PAS_DEFINITIF</t>
        </is>
      </c>
      <c r="B9" s="2" t="inlineStr">
        <is>
          <t>Pas de 'définitif'</t>
        </is>
      </c>
      <c r="C9" s="2" t="inlineStr">
        <is>
          <t>Depuis 2018 : permis limité (ex. 15 ans en G1) ; on parle d'aptitude pour durée réglementaire, pas 'définitif'.</t>
        </is>
      </c>
    </row>
  </sheetData>
  <dataValidations count="3">
    <dataValidation sqref="B3" showDropDown="0" showInputMessage="0" showErrorMessage="0" allowBlank="1" type="list">
      <formula1>"6 mois,1 an,2 ans,5 ans"</formula1>
    </dataValidation>
    <dataValidation sqref="B4" showDropDown="0" showInputMessage="0" showErrorMessage="0" allowBlank="1" type="list">
      <formula1>"1 mois,6 semaines,3 mois,6 mois,1 an"</formula1>
    </dataValidation>
    <dataValidation sqref="B5" showDropDown="0" showInputMessage="0" showErrorMessage="0" allowBlank="1" type="list">
      <formula1>"G1,G2"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5" customWidth="1" min="3" max="3"/>
    <col width="16" customWidth="1" min="4" max="4"/>
    <col width="42" customWidth="1" min="5" max="5"/>
    <col width="16" customWidth="1" min="6" max="6"/>
    <col width="16" customWidth="1" min="7" max="7"/>
    <col width="10" customWidth="1" min="8" max="8"/>
    <col width="22" customWidth="1" min="9" max="9"/>
    <col width="14" customWidth="1" min="10" max="10"/>
    <col width="70" customWidth="1" min="11" max="11"/>
  </cols>
  <sheetData>
    <row r="1">
      <c r="A1" s="1" t="inlineStr">
        <is>
          <t>NodeID</t>
        </is>
      </c>
      <c r="B1" s="1" t="inlineStr">
        <is>
          <t>Block</t>
        </is>
      </c>
      <c r="C1" s="1" t="inlineStr">
        <is>
          <t>Question (UI)</t>
        </is>
      </c>
      <c r="D1" s="1" t="inlineStr">
        <is>
          <t>Answer Type</t>
        </is>
      </c>
      <c r="E1" s="1" t="inlineStr">
        <is>
          <t>Options (if select/checkbox)</t>
        </is>
      </c>
      <c r="F1" s="1" t="inlineStr">
        <is>
          <t>If YES -&gt; Next</t>
        </is>
      </c>
      <c r="G1" s="1" t="inlineStr">
        <is>
          <t>If NO -&gt; Next</t>
        </is>
      </c>
      <c r="H1" s="1" t="inlineStr">
        <is>
          <t>STOP? (Y/N)</t>
        </is>
      </c>
      <c r="I1" s="1" t="inlineStr">
        <is>
          <t>Stop Decision Code</t>
        </is>
      </c>
      <c r="J1" s="1" t="inlineStr">
        <is>
          <t>Precision Field? (Y/N)</t>
        </is>
      </c>
      <c r="K1" s="1" t="inlineStr">
        <is>
          <t>Decision Rationale / Notes</t>
        </is>
      </c>
    </row>
    <row r="2">
      <c r="A2" s="2" t="inlineStr">
        <is>
          <t>Q0</t>
        </is>
      </c>
      <c r="B2" s="2" t="inlineStr">
        <is>
          <t>Bloc 0</t>
        </is>
      </c>
      <c r="C2" s="2" t="inlineStr">
        <is>
          <t>Date AVC/AIT (symptômes) : &lt; 6 mois ou ≥ 6 mois ?</t>
        </is>
      </c>
      <c r="D2" s="2" t="inlineStr">
        <is>
          <t>select</t>
        </is>
      </c>
      <c r="E2" s="2" t="inlineStr">
        <is>
          <t>&lt; 6 mois;≥ 6 mois;Inconnue</t>
        </is>
      </c>
      <c r="F2" s="2" t="inlineStr"/>
      <c r="G2" s="2" t="inlineStr">
        <is>
          <t>Q1</t>
        </is>
      </c>
      <c r="H2" s="2" t="inlineStr">
        <is>
          <t>Y</t>
        </is>
      </c>
      <c r="I2" s="2" t="inlineStr">
        <is>
          <t>FIN_A</t>
        </is>
      </c>
      <c r="J2" s="2" t="inlineStr">
        <is>
          <t>Y</t>
        </is>
      </c>
      <c r="K2" s="2" t="inlineStr">
        <is>
          <t>Si &lt; 6 mois: STOP Inaptitude temporaire jusqu'à réévaluation à 6 mois post-événement. Si inconnue: demander précisions.
Note experte : pas de délai chiffré officiel dans le texte ; la stabilisation clinique fait foi. Éviter aptitude 'J6'.</t>
        </is>
      </c>
    </row>
    <row r="3">
      <c r="A3" s="2" t="inlineStr">
        <is>
          <t>Q1</t>
        </is>
      </c>
      <c r="B3" s="2" t="inlineStr">
        <is>
          <t>Bloc 0</t>
        </is>
      </c>
      <c r="C3" s="2" t="inlineStr">
        <is>
          <t>Type d’événement ?</t>
        </is>
      </c>
      <c r="D3" s="2" t="inlineStr">
        <is>
          <t>select</t>
        </is>
      </c>
      <c r="E3" s="2" t="inlineStr">
        <is>
          <t>AVC ischémique;AVC hémorragique;AIT;Autre;Inconnu</t>
        </is>
      </c>
      <c r="F3" s="2" t="inlineStr">
        <is>
          <t>Q2</t>
        </is>
      </c>
      <c r="G3" s="2" t="inlineStr">
        <is>
          <t>Q2</t>
        </is>
      </c>
      <c r="H3" s="2" t="inlineStr">
        <is>
          <t>N</t>
        </is>
      </c>
      <c r="I3" s="2" t="inlineStr"/>
      <c r="J3" s="2" t="inlineStr">
        <is>
          <t>N</t>
        </is>
      </c>
      <c r="K3" s="2" t="inlineStr">
        <is>
          <t>Quel que soit le type, poursuivre l’évaluation.</t>
        </is>
      </c>
    </row>
    <row r="4">
      <c r="A4" s="2" t="inlineStr">
        <is>
          <t>Q2</t>
        </is>
      </c>
      <c r="B4" s="2" t="inlineStr">
        <is>
          <t>Bloc 1</t>
        </is>
      </c>
      <c r="C4" s="2" t="inlineStr">
        <is>
          <t>Déficit moteur/coordination significatif persistant ?</t>
        </is>
      </c>
      <c r="D4" s="2" t="inlineStr">
        <is>
          <t>yesno</t>
        </is>
      </c>
      <c r="E4" s="2" t="inlineStr"/>
      <c r="F4" s="2" t="inlineStr">
        <is>
          <t>Q2a</t>
        </is>
      </c>
      <c r="G4" s="2" t="inlineStr">
        <is>
          <t>Q3</t>
        </is>
      </c>
      <c r="H4" s="2" t="inlineStr">
        <is>
          <t>N</t>
        </is>
      </c>
      <c r="I4" s="2" t="inlineStr"/>
      <c r="J4" s="2" t="inlineStr">
        <is>
          <t>Y</t>
        </is>
      </c>
      <c r="K4" s="2" t="inlineStr">
        <is>
          <t>Si oui, préciser le type de déficit. Si déficit significatif: inaptitude.</t>
        </is>
      </c>
    </row>
    <row r="5">
      <c r="A5" s="2" t="inlineStr">
        <is>
          <t>Q2a</t>
        </is>
      </c>
      <c r="B5" s="2" t="inlineStr">
        <is>
          <t>Bloc 1</t>
        </is>
      </c>
      <c r="C5" s="2" t="inlineStr">
        <is>
          <t>Sous-questions déficit moteur (cocher si présent)</t>
        </is>
      </c>
      <c r="D5" s="2" t="inlineStr">
        <is>
          <t>checkbox</t>
        </is>
      </c>
      <c r="E5" s="2" t="inlineStr">
        <is>
          <t>Hémiparésie;Troubles marche/équilibre;Ataxie;Spasticité;Autre</t>
        </is>
      </c>
      <c r="F5" s="2" t="inlineStr"/>
      <c r="G5" s="2" t="inlineStr">
        <is>
          <t>Q3</t>
        </is>
      </c>
      <c r="H5" s="2" t="inlineStr">
        <is>
          <t>Y</t>
        </is>
      </c>
      <c r="I5" s="2" t="inlineStr">
        <is>
          <t>FIN_A</t>
        </is>
      </c>
      <c r="J5" s="2" t="inlineStr">
        <is>
          <t>Y</t>
        </is>
      </c>
      <c r="K5" s="2" t="inlineStr">
        <is>
          <t>Si au moins une case cochée: STOP Inapte (temporaire ou avis spécialisé + aménagement).</t>
        </is>
      </c>
    </row>
    <row r="6">
      <c r="A6" s="2" t="inlineStr">
        <is>
          <t>Q3</t>
        </is>
      </c>
      <c r="B6" s="2" t="inlineStr">
        <is>
          <t>Bloc 1</t>
        </is>
      </c>
      <c r="C6" s="2" t="inlineStr">
        <is>
          <t>Trouble visuel post-AVC gênant la conduite ?</t>
        </is>
      </c>
      <c r="D6" s="2" t="inlineStr">
        <is>
          <t>yesno</t>
        </is>
      </c>
      <c r="E6" s="2" t="inlineStr"/>
      <c r="F6" s="2" t="inlineStr">
        <is>
          <t>Q3a</t>
        </is>
      </c>
      <c r="G6" s="2" t="inlineStr">
        <is>
          <t>Q4</t>
        </is>
      </c>
      <c r="H6" s="2" t="inlineStr">
        <is>
          <t>N</t>
        </is>
      </c>
      <c r="I6" s="2" t="inlineStr"/>
      <c r="J6" s="2" t="inlineStr">
        <is>
          <t>Y</t>
        </is>
      </c>
      <c r="K6" s="2" t="inlineStr">
        <is>
          <t>Si oui, qualifier le trouble visuel.</t>
        </is>
      </c>
    </row>
    <row r="7">
      <c r="A7" s="2" t="inlineStr">
        <is>
          <t>Q3a</t>
        </is>
      </c>
      <c r="B7" s="2" t="inlineStr">
        <is>
          <t>Bloc 1</t>
        </is>
      </c>
      <c r="C7" s="2" t="inlineStr">
        <is>
          <t>Type de trouble visuel (cocher tout ce qui s’applique)</t>
        </is>
      </c>
      <c r="D7" s="2" t="inlineStr">
        <is>
          <t>checkbox</t>
        </is>
      </c>
      <c r="E7" s="2" t="inlineStr">
        <is>
          <t>Hémianopsie persistante;Quadranopsie;Diplopie persistante;Troubles oculomoteurs/nystagmus;saccades pathologiques;Trouble transitoire/récupéré;Autre</t>
        </is>
      </c>
      <c r="F7" s="2" t="inlineStr"/>
      <c r="G7" s="2" t="inlineStr">
        <is>
          <t>Q4</t>
        </is>
      </c>
      <c r="H7" s="2" t="inlineStr">
        <is>
          <t>N</t>
        </is>
      </c>
      <c r="I7" s="2" t="inlineStr"/>
      <c r="J7" s="2" t="inlineStr">
        <is>
          <t>Y</t>
        </is>
      </c>
      <c r="K7" s="2" t="inlineStr">
        <is>
          <t>Les sous-items déclenchent des décisions spécifiques (voir feuille RULES).</t>
        </is>
      </c>
    </row>
    <row r="8">
      <c r="A8" s="2" t="inlineStr">
        <is>
          <t>Q4</t>
        </is>
      </c>
      <c r="B8" s="2" t="inlineStr">
        <is>
          <t>Bloc 1</t>
        </is>
      </c>
      <c r="C8" s="2" t="inlineStr">
        <is>
          <t>Trouble cognitif/attentionnel/négligence/trouble exécutif gênant ?</t>
        </is>
      </c>
      <c r="D8" s="2" t="inlineStr">
        <is>
          <t>yesno</t>
        </is>
      </c>
      <c r="E8" s="2" t="inlineStr"/>
      <c r="F8" s="2" t="inlineStr">
        <is>
          <t>Q4a</t>
        </is>
      </c>
      <c r="G8" s="2" t="inlineStr">
        <is>
          <t>Q5</t>
        </is>
      </c>
      <c r="H8" s="2" t="inlineStr">
        <is>
          <t>N</t>
        </is>
      </c>
      <c r="I8" s="2" t="inlineStr"/>
      <c r="J8" s="2" t="inlineStr">
        <is>
          <t>Y</t>
        </is>
      </c>
      <c r="K8" s="2" t="inlineStr">
        <is>
          <t>Si oui, préciser le type. Souvent nécessite bilan neuropsychologique.</t>
        </is>
      </c>
    </row>
    <row r="9">
      <c r="A9" s="2" t="inlineStr">
        <is>
          <t>Q4a</t>
        </is>
      </c>
      <c r="B9" s="2" t="inlineStr">
        <is>
          <t>Bloc 1</t>
        </is>
      </c>
      <c r="C9" s="2" t="inlineStr">
        <is>
          <t>Sous-questions cognition (cocher si présent)</t>
        </is>
      </c>
      <c r="D9" s="2" t="inlineStr">
        <is>
          <t>checkbox</t>
        </is>
      </c>
      <c r="E9" s="2" t="inlineStr">
        <is>
          <t>Négligence spatiale;Trouble attentionnel/distractibilité;Ralentissement cognitif;Trouble exécutif/jugement;Autre</t>
        </is>
      </c>
      <c r="F9" s="2" t="inlineStr"/>
      <c r="G9" s="2" t="inlineStr">
        <is>
          <t>Q5</t>
        </is>
      </c>
      <c r="H9" s="2" t="inlineStr">
        <is>
          <t>Y</t>
        </is>
      </c>
      <c r="I9" s="2" t="inlineStr">
        <is>
          <t>FIN_C</t>
        </is>
      </c>
      <c r="J9" s="2" t="inlineStr">
        <is>
          <t>Y</t>
        </is>
      </c>
      <c r="K9" s="2" t="inlineStr">
        <is>
          <t>Si coché: STOP Inapte temp + évaluation cognitive (bilan neuropsy / psychotechnique / test conduite).</t>
        </is>
      </c>
    </row>
    <row r="10">
      <c r="A10" s="2" t="inlineStr">
        <is>
          <t>Q5</t>
        </is>
      </c>
      <c r="B10" s="2" t="inlineStr">
        <is>
          <t>Bloc 1</t>
        </is>
      </c>
      <c r="C10" s="2" t="inlineStr">
        <is>
          <t>Troubles du langage majeurs empêchant compréhension/communication utile à la conduite ?</t>
        </is>
      </c>
      <c r="D10" s="2" t="inlineStr">
        <is>
          <t>yesno</t>
        </is>
      </c>
      <c r="E10" s="2" t="inlineStr"/>
      <c r="F10" s="2" t="inlineStr">
        <is>
          <t>FIN_D</t>
        </is>
      </c>
      <c r="G10" s="2" t="inlineStr">
        <is>
          <t>Q6</t>
        </is>
      </c>
      <c r="H10" s="2" t="inlineStr">
        <is>
          <t>Y</t>
        </is>
      </c>
      <c r="I10" s="2" t="inlineStr">
        <is>
          <t>FIN_A</t>
        </is>
      </c>
      <c r="J10" s="2" t="inlineStr">
        <is>
          <t>Y</t>
        </is>
      </c>
      <c r="K10" s="2" t="inlineStr">
        <is>
          <t>Si oui: inaptitude temporaire ou définitive selon sévérité/évolution.</t>
        </is>
      </c>
    </row>
    <row r="11">
      <c r="A11" s="2" t="inlineStr">
        <is>
          <t>Q6</t>
        </is>
      </c>
      <c r="B11" s="2" t="inlineStr">
        <is>
          <t>Bloc 2</t>
        </is>
      </c>
      <c r="C11" s="2" t="inlineStr">
        <is>
          <t>Évolution non stabilisée ou aggravation récente ?</t>
        </is>
      </c>
      <c r="D11" s="2" t="inlineStr">
        <is>
          <t>yesno</t>
        </is>
      </c>
      <c r="E11" s="2" t="inlineStr"/>
      <c r="F11" s="2" t="inlineStr">
        <is>
          <t>FIN_A</t>
        </is>
      </c>
      <c r="G11" s="2" t="inlineStr">
        <is>
          <t>Q7</t>
        </is>
      </c>
      <c r="H11" s="2" t="inlineStr">
        <is>
          <t>Y</t>
        </is>
      </c>
      <c r="I11" s="2" t="inlineStr">
        <is>
          <t>FIN_A</t>
        </is>
      </c>
      <c r="J11" s="2" t="inlineStr">
        <is>
          <t>Y</t>
        </is>
      </c>
      <c r="K11" s="2" t="inlineStr">
        <is>
          <t>Si oui: inaptitude temporaire + réévaluation neurologue.</t>
        </is>
      </c>
    </row>
    <row r="12">
      <c r="A12" s="2" t="inlineStr">
        <is>
          <t>Q7</t>
        </is>
      </c>
      <c r="B12" s="2" t="inlineStr">
        <is>
          <t>Bloc 2</t>
        </is>
      </c>
      <c r="C12" s="2" t="inlineStr">
        <is>
          <t>Rééducation en cours pour déficit non stabilisé ?</t>
        </is>
      </c>
      <c r="D12" s="2" t="inlineStr">
        <is>
          <t>yesno</t>
        </is>
      </c>
      <c r="E12" s="2" t="inlineStr"/>
      <c r="F12" s="2" t="inlineStr">
        <is>
          <t>FIN_A</t>
        </is>
      </c>
      <c r="G12" s="2" t="inlineStr">
        <is>
          <t>Q8</t>
        </is>
      </c>
      <c r="H12" s="2" t="inlineStr">
        <is>
          <t>Y</t>
        </is>
      </c>
      <c r="I12" s="2" t="inlineStr">
        <is>
          <t>FIN_A</t>
        </is>
      </c>
      <c r="J12" s="2" t="inlineStr">
        <is>
          <t>Y</t>
        </is>
      </c>
      <c r="K12" s="2" t="inlineStr">
        <is>
          <t>Si oui: inaptitude temporaire; attendre stabilisation.
Si rééducation en cours = souvent non consolidé → prudence (inaptitude temporaire ou réévaluation).</t>
        </is>
      </c>
    </row>
    <row r="13">
      <c r="A13" s="2" t="inlineStr">
        <is>
          <t>Q8</t>
        </is>
      </c>
      <c r="B13" s="2" t="inlineStr">
        <is>
          <t>Bloc 2</t>
        </is>
      </c>
      <c r="C13" s="2" t="inlineStr">
        <is>
          <t>Crises d’épilepsie post-AVC ?</t>
        </is>
      </c>
      <c r="D13" s="2" t="inlineStr">
        <is>
          <t>yesno</t>
        </is>
      </c>
      <c r="E13" s="2" t="inlineStr"/>
      <c r="F13" s="2" t="inlineStr">
        <is>
          <t>FIN_A</t>
        </is>
      </c>
      <c r="G13" s="2" t="inlineStr">
        <is>
          <t>Q9</t>
        </is>
      </c>
      <c r="H13" s="2" t="inlineStr">
        <is>
          <t>Y</t>
        </is>
      </c>
      <c r="I13" s="2" t="inlineStr">
        <is>
          <t>FIN_A</t>
        </is>
      </c>
      <c r="J13" s="2" t="inlineStr">
        <is>
          <t>Y</t>
        </is>
      </c>
      <c r="K13" s="2" t="inlineStr">
        <is>
          <t>Si oui: inaptitude temporaire + basculer module épilepsie.</t>
        </is>
      </c>
    </row>
    <row r="14">
      <c r="A14" s="2" t="inlineStr">
        <is>
          <t>Q9</t>
        </is>
      </c>
      <c r="B14" s="2" t="inlineStr">
        <is>
          <t>Bloc 2</t>
        </is>
      </c>
      <c r="C14" s="2" t="inlineStr">
        <is>
          <t>Traitements avec risque sur vigilance (somnolence, hypotension, sédation…)?</t>
        </is>
      </c>
      <c r="D14" s="2" t="inlineStr">
        <is>
          <t>yesno</t>
        </is>
      </c>
      <c r="E14" s="2" t="inlineStr"/>
      <c r="F14" s="2" t="inlineStr">
        <is>
          <t>FIN_D</t>
        </is>
      </c>
      <c r="G14" s="2" t="inlineStr">
        <is>
          <t>Q10</t>
        </is>
      </c>
      <c r="H14" s="2" t="inlineStr">
        <is>
          <t>Y</t>
        </is>
      </c>
      <c r="I14" s="2" t="inlineStr">
        <is>
          <t>FIN_D</t>
        </is>
      </c>
      <c r="J14" s="2" t="inlineStr">
        <is>
          <t>Y</t>
        </is>
      </c>
      <c r="K14" s="2" t="inlineStr">
        <is>
          <t>Si oui: inaptitude temporaire / adaptation traitement; réévaluer effets indésirables.</t>
        </is>
      </c>
    </row>
    <row r="15">
      <c r="A15" s="2" t="inlineStr">
        <is>
          <t>Q10</t>
        </is>
      </c>
      <c r="B15" s="2" t="inlineStr">
        <is>
          <t>Bloc 3</t>
        </is>
      </c>
      <c r="C15" s="2" t="inlineStr">
        <is>
          <t>Avis neurologique récent compatible avec la conduite ?</t>
        </is>
      </c>
      <c r="D15" s="2" t="inlineStr">
        <is>
          <t>yesno</t>
        </is>
      </c>
      <c r="E15" s="2" t="inlineStr"/>
      <c r="F15" s="2" t="inlineStr">
        <is>
          <t>Q11</t>
        </is>
      </c>
      <c r="G15" s="2" t="inlineStr">
        <is>
          <t>FIN_E</t>
        </is>
      </c>
      <c r="H15" s="2" t="inlineStr">
        <is>
          <t>N</t>
        </is>
      </c>
      <c r="I15" s="2" t="inlineStr"/>
      <c r="J15" s="2" t="inlineStr">
        <is>
          <t>Y</t>
        </is>
      </c>
      <c r="K15" s="2" t="inlineStr">
        <is>
          <t>Si non: inaptitude temporaire en attente d’avis.
Rappel : l'avis neurologique aide mais ne décharge pas le médecin agréé signataire du CERFA.</t>
        </is>
      </c>
    </row>
    <row r="16">
      <c r="A16" s="2" t="inlineStr">
        <is>
          <t>Q11</t>
        </is>
      </c>
      <c r="B16" s="2" t="inlineStr">
        <is>
          <t>Bloc 3</t>
        </is>
      </c>
      <c r="C16" s="2" t="inlineStr">
        <is>
          <t>Examens complémentaires montrent aggravation / élément évolutif ?</t>
        </is>
      </c>
      <c r="D16" s="2" t="inlineStr">
        <is>
          <t>yesno</t>
        </is>
      </c>
      <c r="E16" s="2" t="inlineStr"/>
      <c r="F16" s="2" t="inlineStr">
        <is>
          <t>FIN_A</t>
        </is>
      </c>
      <c r="G16" s="2" t="inlineStr">
        <is>
          <t>Q12</t>
        </is>
      </c>
      <c r="H16" s="2" t="inlineStr">
        <is>
          <t>Y</t>
        </is>
      </c>
      <c r="I16" s="2" t="inlineStr">
        <is>
          <t>FIN_A</t>
        </is>
      </c>
      <c r="J16" s="2" t="inlineStr">
        <is>
          <t>Y</t>
        </is>
      </c>
      <c r="K16" s="2" t="inlineStr">
        <is>
          <t>Si oui: inaptitude temporaire + réévaluation neurologue.</t>
        </is>
      </c>
    </row>
    <row r="17">
      <c r="A17" s="2" t="inlineStr">
        <is>
          <t>Q12</t>
        </is>
      </c>
      <c r="B17" s="2" t="inlineStr">
        <is>
          <t>Bloc 3</t>
        </is>
      </c>
      <c r="C17" s="2" t="inlineStr">
        <is>
          <t>Synthèse finale (si aucun STOP déclenché) : Aptitude temporaire sous conditions ?</t>
        </is>
      </c>
      <c r="D17" s="2" t="inlineStr">
        <is>
          <t>info</t>
        </is>
      </c>
      <c r="E17" s="2" t="inlineStr"/>
      <c r="F17" s="2" t="inlineStr"/>
      <c r="G17" s="2" t="inlineStr"/>
      <c r="H17" s="2" t="inlineStr">
        <is>
          <t>Y</t>
        </is>
      </c>
      <c r="I17" s="2" t="inlineStr">
        <is>
          <t>FIN_D</t>
        </is>
      </c>
      <c r="J17" s="2" t="inlineStr">
        <is>
          <t>N</t>
        </is>
      </c>
      <c r="K17" s="2" t="inlineStr">
        <is>
          <t>Fin logique: APTE TEMPORAIRE (durée DUREE_APTE_TEMP) + conditions + suivi.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14" customWidth="1" min="4" max="4"/>
    <col width="28" customWidth="1" min="5" max="5"/>
    <col width="16" customWidth="1" min="6" max="6"/>
    <col width="45" customWidth="1" min="7" max="7"/>
    <col width="60" customWidth="1" min="8" max="8"/>
  </cols>
  <sheetData>
    <row r="1">
      <c r="A1" s="1" t="inlineStr">
        <is>
          <t>RuleID</t>
        </is>
      </c>
      <c r="B1" s="1" t="inlineStr">
        <is>
          <t>Applies To</t>
        </is>
      </c>
      <c r="C1" s="1" t="inlineStr">
        <is>
          <t>Trigger (answer/checkbox)</t>
        </is>
      </c>
      <c r="D1" s="1" t="inlineStr">
        <is>
          <t>Decision Code</t>
        </is>
      </c>
      <c r="E1" s="1" t="inlineStr">
        <is>
          <t>Decision Label</t>
        </is>
      </c>
      <c r="F1" s="1" t="inlineStr">
        <is>
          <t>Default Duration</t>
        </is>
      </c>
      <c r="G1" s="1" t="inlineStr">
        <is>
          <t>Re-evaluation Conditions</t>
        </is>
      </c>
      <c r="H1" s="1" t="inlineStr">
        <is>
          <t>Notes / Justification</t>
        </is>
      </c>
    </row>
    <row r="2">
      <c r="A2" s="2" t="inlineStr">
        <is>
          <t>R1</t>
        </is>
      </c>
      <c r="B2" s="2" t="inlineStr">
        <is>
          <t>Q3a</t>
        </is>
      </c>
      <c r="C2" s="2" t="inlineStr">
        <is>
          <t>Hémianopsie persistante</t>
        </is>
      </c>
      <c r="D2" s="2" t="inlineStr">
        <is>
          <t>FIN_A</t>
        </is>
      </c>
      <c r="E2" s="2" t="inlineStr">
        <is>
          <t>INAPTE (tant que présent)</t>
        </is>
      </c>
      <c r="F2" s="2" t="inlineStr">
        <is>
          <t>DUREE_INAPTE_TEMP</t>
        </is>
      </c>
      <c r="G2" s="2" t="inlineStr">
        <is>
          <t>Réévaluation après bilan spécialisé; compensation documentée si possible</t>
        </is>
      </c>
      <c r="H2" s="2" t="inlineStr">
        <is>
          <t>Risque majeur de non-détection des obstacles.</t>
        </is>
      </c>
    </row>
    <row r="3">
      <c r="A3" s="2" t="inlineStr">
        <is>
          <t>R2</t>
        </is>
      </c>
      <c r="B3" s="2" t="inlineStr">
        <is>
          <t>Q3a</t>
        </is>
      </c>
      <c r="C3" s="2" t="inlineStr">
        <is>
          <t>Quadranopsie</t>
        </is>
      </c>
      <c r="D3" s="2" t="inlineStr">
        <is>
          <t>FIN_A</t>
        </is>
      </c>
      <c r="E3" s="2" t="inlineStr">
        <is>
          <t>INAPTE TEMPORAIRE</t>
        </is>
      </c>
      <c r="F3" s="2" t="inlineStr">
        <is>
          <t>DUREE_INAPTE_TEMP</t>
        </is>
      </c>
      <c r="G3" s="2" t="inlineStr">
        <is>
          <t>Bilan ophtalmologique + réévaluation après stabilisation</t>
        </is>
      </c>
      <c r="H3" s="2" t="inlineStr">
        <is>
          <t>Perte partielle du champ visuel.</t>
        </is>
      </c>
    </row>
    <row r="4">
      <c r="A4" s="2" t="inlineStr">
        <is>
          <t>R3</t>
        </is>
      </c>
      <c r="B4" s="2" t="inlineStr">
        <is>
          <t>Q3a</t>
        </is>
      </c>
      <c r="C4" s="2" t="inlineStr">
        <is>
          <t>Diplopie persistante</t>
        </is>
      </c>
      <c r="D4" s="2" t="inlineStr">
        <is>
          <t>FIN_A</t>
        </is>
      </c>
      <c r="E4" s="2" t="inlineStr">
        <is>
          <t>INAPTE TEMPORAIRE</t>
        </is>
      </c>
      <c r="F4" s="2" t="inlineStr">
        <is>
          <t>DUREE_INAPTE_TEMP</t>
        </is>
      </c>
      <c r="G4" s="2" t="inlineStr">
        <is>
          <t>Ré-aptitude possible si diplopie corrigée (prisme/occlusion) + avis oph favorable</t>
        </is>
      </c>
      <c r="H4" s="2" t="inlineStr">
        <is>
          <t>Altération perception spatiale.</t>
        </is>
      </c>
    </row>
    <row r="5">
      <c r="A5" s="2" t="inlineStr">
        <is>
          <t>R4</t>
        </is>
      </c>
      <c r="B5" s="2" t="inlineStr">
        <is>
          <t>Q3a</t>
        </is>
      </c>
      <c r="C5" s="2" t="inlineStr">
        <is>
          <t>Troubles oculomoteurs/nystagmus; saccades pathologiques</t>
        </is>
      </c>
      <c r="D5" s="2" t="inlineStr">
        <is>
          <t>FIN_A</t>
        </is>
      </c>
      <c r="E5" s="2" t="inlineStr">
        <is>
          <t>INAPTE TEMPORAIRE</t>
        </is>
      </c>
      <c r="F5" s="2" t="inlineStr">
        <is>
          <t>DUREE_INAPTE_TEMP</t>
        </is>
      </c>
      <c r="G5" s="2" t="inlineStr">
        <is>
          <t>Réévaluation après stabilisation + avis spécialisé</t>
        </is>
      </c>
      <c r="H5" s="2" t="inlineStr">
        <is>
          <t>Poursuite oculaire instable.</t>
        </is>
      </c>
    </row>
    <row r="6">
      <c r="A6" s="2" t="inlineStr">
        <is>
          <t>R5</t>
        </is>
      </c>
      <c r="B6" s="2" t="inlineStr">
        <is>
          <t>Q3a</t>
        </is>
      </c>
      <c r="C6" s="2" t="inlineStr">
        <is>
          <t>Trouble transitoire/récupéré</t>
        </is>
      </c>
      <c r="D6" s="2" t="inlineStr">
        <is>
          <t>FIN_E</t>
        </is>
      </c>
      <c r="E6" s="2" t="inlineStr">
        <is>
          <t>APTE TEMPORAIRE (condition)</t>
        </is>
      </c>
      <c r="F6" s="2" t="inlineStr">
        <is>
          <t>6 mois</t>
        </is>
      </c>
      <c r="G6" s="2" t="inlineStr">
        <is>
          <t>Bilan ophtalmologique récent et favorable</t>
        </is>
      </c>
      <c r="H6" s="2" t="inlineStr">
        <is>
          <t>Possible si récupération documentée.</t>
        </is>
      </c>
    </row>
    <row r="7">
      <c r="A7" s="2" t="inlineStr">
        <is>
          <t>R6</t>
        </is>
      </c>
      <c r="B7" s="2" t="inlineStr">
        <is>
          <t>Q4a</t>
        </is>
      </c>
      <c r="C7" s="2" t="inlineStr">
        <is>
          <t>Négligence spatiale</t>
        </is>
      </c>
      <c r="D7" s="2" t="inlineStr">
        <is>
          <t>FIN_C</t>
        </is>
      </c>
      <c r="E7" s="2" t="inlineStr">
        <is>
          <t>INAPTE + ÉVAL COG</t>
        </is>
      </c>
      <c r="F7" s="2" t="inlineStr">
        <is>
          <t>DUREE_INAPTE_TEMP</t>
        </is>
      </c>
      <c r="G7" s="2" t="inlineStr">
        <is>
          <t>Bilan neuropsy; tests conduite/psychotechniques; amélioration documentée</t>
        </is>
      </c>
      <c r="H7" s="2" t="inlineStr">
        <is>
          <t>Risque collisions latérales / non-perception.</t>
        </is>
      </c>
    </row>
    <row r="8">
      <c r="A8" s="2" t="inlineStr">
        <is>
          <t>R7</t>
        </is>
      </c>
      <c r="B8" s="2" t="inlineStr">
        <is>
          <t>Q4a</t>
        </is>
      </c>
      <c r="C8" s="2" t="inlineStr">
        <is>
          <t>Trouble attentionnel/distractibilité</t>
        </is>
      </c>
      <c r="D8" s="2" t="inlineStr">
        <is>
          <t>FIN_C</t>
        </is>
      </c>
      <c r="E8" s="2" t="inlineStr">
        <is>
          <t>INAPTE + ÉVAL COG</t>
        </is>
      </c>
      <c r="F8" s="2" t="inlineStr">
        <is>
          <t>DUREE_INAPTE_TEMP</t>
        </is>
      </c>
      <c r="G8" s="2" t="inlineStr">
        <is>
          <t>Bilan neuropsy; évaluer vigilance; test conduite</t>
        </is>
      </c>
      <c r="H8" s="2" t="inlineStr">
        <is>
          <t>Baisse vigilance / lenteur réaction.</t>
        </is>
      </c>
    </row>
    <row r="9">
      <c r="A9" s="2" t="inlineStr">
        <is>
          <t>R8</t>
        </is>
      </c>
      <c r="B9" s="2" t="inlineStr">
        <is>
          <t>Q4a</t>
        </is>
      </c>
      <c r="C9" s="2" t="inlineStr">
        <is>
          <t>Ralentissement cognitif</t>
        </is>
      </c>
      <c r="D9" s="2" t="inlineStr">
        <is>
          <t>FIN_C</t>
        </is>
      </c>
      <c r="E9" s="2" t="inlineStr">
        <is>
          <t>INAPTE + ÉVAL COG</t>
        </is>
      </c>
      <c r="F9" s="2" t="inlineStr">
        <is>
          <t>DUREE_INAPTE_TEMP</t>
        </is>
      </c>
      <c r="G9" s="2" t="inlineStr">
        <is>
          <t>Bilan neuropsy; réévaluer après amélioration</t>
        </is>
      </c>
      <c r="H9" s="2" t="inlineStr">
        <is>
          <t>Peut être temporaire ou durable.</t>
        </is>
      </c>
    </row>
    <row r="10">
      <c r="A10" s="2" t="inlineStr">
        <is>
          <t>R9</t>
        </is>
      </c>
      <c r="B10" s="2" t="inlineStr">
        <is>
          <t>Q4a</t>
        </is>
      </c>
      <c r="C10" s="2" t="inlineStr">
        <is>
          <t>Trouble exécutif/jugement</t>
        </is>
      </c>
      <c r="D10" s="2" t="inlineStr">
        <is>
          <t>FIN_C</t>
        </is>
      </c>
      <c r="E10" s="2" t="inlineStr">
        <is>
          <t>INAPTE + ÉVAL COG</t>
        </is>
      </c>
      <c r="F10" s="2" t="inlineStr">
        <is>
          <t>DUREE_INAPTE_TEMP</t>
        </is>
      </c>
      <c r="G10" s="2" t="inlineStr">
        <is>
          <t>Bilan neuropsy; évaluer jugement; test conduite</t>
        </is>
      </c>
      <c r="H10" s="2" t="inlineStr">
        <is>
          <t>Planification/gestion priorités altérées.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18" customWidth="1" min="4" max="4"/>
    <col width="55" customWidth="1" min="5" max="5"/>
    <col width="70" customWidth="1" min="6" max="6"/>
  </cols>
  <sheetData>
    <row r="1">
      <c r="A1" s="1" t="inlineStr">
        <is>
          <t>Decision Code</t>
        </is>
      </c>
      <c r="B1" s="1" t="inlineStr">
        <is>
          <t>Label</t>
        </is>
      </c>
      <c r="C1" s="1" t="inlineStr">
        <is>
          <t>Type</t>
        </is>
      </c>
      <c r="D1" s="1" t="inlineStr">
        <is>
          <t>Default Duration</t>
        </is>
      </c>
      <c r="E1" s="1" t="inlineStr">
        <is>
          <t>UI Output (template)</t>
        </is>
      </c>
      <c r="F1" s="1" t="inlineStr">
        <is>
          <t>Copy/Paste text (medico-legal)</t>
        </is>
      </c>
    </row>
    <row r="2">
      <c r="A2" s="2" t="inlineStr">
        <is>
          <t>FIN_A</t>
        </is>
      </c>
      <c r="B2" s="2" t="inlineStr">
        <is>
          <t>INAPTE TEMPORAIRE</t>
        </is>
      </c>
      <c r="C2" s="2" t="inlineStr">
        <is>
          <t>STOP</t>
        </is>
      </c>
      <c r="D2" s="2" t="inlineStr">
        <is>
          <t>DUREE_INAPTE_TEMP</t>
        </is>
      </c>
      <c r="E2" s="2" t="inlineStr">
        <is>
          <t>Décision: INAPTE TEMPORAIRE • Durée: {DUREE_INAPTE_TEMP}</t>
        </is>
      </c>
      <c r="F2" s="2" t="inlineStr">
        <is>
          <t>Reprise possible après stabilisation clinique + avis spécialisé + examens à jour et délai réglementaire atteint. Rappel : la signature du médecin agréé engage sa responsabilité. Une inaptitude peut être levée après correction/stabilisation et nouvelle visite.</t>
        </is>
      </c>
    </row>
    <row r="3">
      <c r="A3" s="2" t="inlineStr">
        <is>
          <t>FIN_B</t>
        </is>
      </c>
      <c r="B3" s="2" t="inlineStr">
        <is>
          <t>APTE AVEC RESTRICTIONS</t>
        </is>
      </c>
      <c r="C3" s="2" t="inlineStr">
        <is>
          <t>END</t>
        </is>
      </c>
      <c r="D3" s="2" t="inlineStr">
        <is>
          <t>DUREE_APTE_TEMP/DR</t>
        </is>
      </c>
      <c r="E3" s="2" t="inlineStr">
        <is>
          <t>Décision: APTE AVEC RESTRICTIONS • Codes: {CODES} • Durée: {DUREE}</t>
        </is>
      </c>
      <c r="F3" s="2" t="inlineStr">
        <is>
          <t>Aptitude sous réserve des restrictions/aménagements indiqués et du suivi prescrit. Restrictions/aménagements : sélectionner les codes adaptés selon déficits.</t>
        </is>
      </c>
    </row>
    <row r="4">
      <c r="A4" s="2" t="inlineStr">
        <is>
          <t>FIN_C</t>
        </is>
      </c>
      <c r="B4" s="2" t="inlineStr">
        <is>
          <t>INAPTE + ÉVAL COG</t>
        </is>
      </c>
      <c r="C4" s="2" t="inlineStr">
        <is>
          <t>STOP</t>
        </is>
      </c>
      <c r="D4" s="2" t="inlineStr">
        <is>
          <t>DUREE_INAPTE_TEMP</t>
        </is>
      </c>
      <c r="E4" s="2" t="inlineStr">
        <is>
          <t>Décision: INAPTE TEMPORAIRE • Évaluation: neuropsych/psychotech/test conduite</t>
        </is>
      </c>
      <c r="F4" s="2" t="inlineStr">
        <is>
          <t>Décision conditionnée à une évaluation neurocognitive et/ou test de conduite avec amélioration documentée. Rappel : la signature du médecin agréé engage sa responsabilité. Une inaptitude peut être levée après amélioration documentée et nouvelle évaluation.</t>
        </is>
      </c>
    </row>
    <row r="5">
      <c r="A5" s="2" t="inlineStr">
        <is>
          <t>FIN_D</t>
        </is>
      </c>
      <c r="B5" s="2" t="inlineStr">
        <is>
          <t>APTE TEMPORAIRE SOUS CONDITIONS</t>
        </is>
      </c>
      <c r="C5" s="2" t="inlineStr">
        <is>
          <t>END</t>
        </is>
      </c>
      <c r="D5" s="2" t="inlineStr">
        <is>
          <t>DUREE_APTE_TEMP</t>
        </is>
      </c>
      <c r="E5" s="2" t="inlineStr">
        <is>
          <t>Décision: APTE TEMPORAIRE • Durée: {DUREE_APTE_TEMP} • Conditions: {CONDITIONS}</t>
        </is>
      </c>
      <c r="F5" s="2" t="inlineStr">
        <is>
          <t>Aptitude temporaire accordée sous conditions (stabilité, absence récidive, traitement toléré, suivi spécialisé). Prudence : risque de récidive surtout la première année → recontrôle conseillé (souvent 6 mois puis 1 an selon contexte).</t>
        </is>
      </c>
    </row>
    <row r="6">
      <c r="A6" s="2" t="inlineStr">
        <is>
          <t>FIN_E</t>
        </is>
      </c>
      <c r="B6" s="2" t="inlineStr">
        <is>
          <t>APTE TEMPORAIRE (en attente avis)</t>
        </is>
      </c>
      <c r="C6" s="2" t="inlineStr">
        <is>
          <t>END</t>
        </is>
      </c>
      <c r="D6" s="2" t="inlineStr">
        <is>
          <t>6 mois</t>
        </is>
      </c>
      <c r="E6" s="2" t="inlineStr">
        <is>
          <t>Décision: APTE TEMPORAIRE (prudence) • Durée: 6 mois • Condition: avis neuro favorable</t>
        </is>
      </c>
      <c r="F6" s="2" t="inlineStr">
        <is>
          <t>Aptitude temporaire courte dans l’attente d’un avis spécialisé récent compatible avec la conduite. Prudence : éviter décision trop précoce ; recontrôle avec avis spécialisé et éléments objectifs.</t>
        </is>
      </c>
    </row>
    <row r="7">
      <c r="A7" s="2" t="inlineStr">
        <is>
          <t>FIN_F</t>
        </is>
      </c>
      <c r="B7" s="2" t="inlineStr">
        <is>
          <t>BASCULER GROUPE 2</t>
        </is>
      </c>
      <c r="C7" s="2" t="inlineStr">
        <is>
          <t>ROUTE</t>
        </is>
      </c>
      <c r="D7" s="2" t="inlineStr"/>
      <c r="E7" s="2" t="inlineStr">
        <is>
          <t>Évaluation Groupe 2 nécessaire</t>
        </is>
      </c>
      <c r="F7" s="2" t="inlineStr">
        <is>
          <t>Le cas relève d’une évaluation Groupe 2 (professionnelle) : appliquer le protocole dédié.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00"/>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6" customWidth="1" min="4" max="4"/>
    <col width="14" customWidth="1" min="5" max="5"/>
    <col width="18" customWidth="1" min="6" max="6"/>
    <col width="16" customWidth="1" min="7" max="7"/>
    <col width="18" customWidth="1" min="8" max="8"/>
    <col width="18" customWidth="1" min="9" max="9"/>
    <col width="18" customWidth="1" min="10" max="10"/>
    <col width="18" customWidth="1" min="11" max="11"/>
    <col width="18" customWidth="1" min="12" max="12"/>
    <col width="14" customWidth="1" min="13" max="13"/>
    <col width="16" customWidth="1" min="14" max="14"/>
    <col width="16" customWidth="1" min="15" max="15"/>
    <col width="14" customWidth="1" min="16" max="16"/>
    <col width="20" customWidth="1" min="17" max="17"/>
    <col width="18" customWidth="1" min="18" max="18"/>
    <col width="18" customWidth="1" min="19" max="19"/>
    <col width="18" customWidth="1" min="20" max="20"/>
    <col width="12" customWidth="1" min="21" max="21"/>
    <col width="26" customWidth="1" min="22" max="22"/>
    <col width="50" customWidth="1" min="23" max="23"/>
    <col width="28" customWidth="1" min="24" max="24"/>
    <col width="55" customWidth="1" min="25" max="25"/>
  </cols>
  <sheetData>
    <row r="1">
      <c r="A1" s="1" t="inlineStr">
        <is>
          <t>CaseID</t>
        </is>
      </c>
      <c r="B1" s="1" t="inlineStr">
        <is>
          <t>Date évaluation</t>
        </is>
      </c>
      <c r="C1" s="1" t="inlineStr">
        <is>
          <t>Groupe (G1/G2)</t>
        </is>
      </c>
      <c r="D1" s="1" t="inlineStr">
        <is>
          <t>Date événement</t>
        </is>
      </c>
      <c r="E1" s="1" t="inlineStr">
        <is>
          <t>Délai &gt; 6 mois ?</t>
        </is>
      </c>
      <c r="F1" s="1" t="inlineStr">
        <is>
          <t>Type événement</t>
        </is>
      </c>
      <c r="G1" s="1" t="inlineStr">
        <is>
          <t>Q2 déficit moteur ?</t>
        </is>
      </c>
      <c r="H1" s="1" t="inlineStr">
        <is>
          <t>Q2a détails</t>
        </is>
      </c>
      <c r="I1" s="1" t="inlineStr">
        <is>
          <t>Q3 trouble visuel ?</t>
        </is>
      </c>
      <c r="J1" s="1" t="inlineStr">
        <is>
          <t>Q3a détails</t>
        </is>
      </c>
      <c r="K1" s="1" t="inlineStr">
        <is>
          <t>Q4 trouble cognitif ?</t>
        </is>
      </c>
      <c r="L1" s="1" t="inlineStr">
        <is>
          <t>Q4a détails</t>
        </is>
      </c>
      <c r="M1" s="1" t="inlineStr">
        <is>
          <t>Q5 langage ?</t>
        </is>
      </c>
      <c r="N1" s="1" t="inlineStr">
        <is>
          <t>Q6 instabilité ?</t>
        </is>
      </c>
      <c r="O1" s="1" t="inlineStr">
        <is>
          <t>Q7 rééducation ?</t>
        </is>
      </c>
      <c r="P1" s="1" t="inlineStr">
        <is>
          <t>Q8 épilepsie ?</t>
        </is>
      </c>
      <c r="Q1" s="1" t="inlineStr">
        <is>
          <t>Q9 traitement vigilance ?</t>
        </is>
      </c>
      <c r="R1" s="1" t="inlineStr">
        <is>
          <t>Q10 avis neuro ok ?</t>
        </is>
      </c>
      <c r="S1" s="1" t="inlineStr">
        <is>
          <t>Q11 examens évolutifs ?</t>
        </is>
      </c>
      <c r="T1" s="1" t="inlineStr">
        <is>
          <t>Décision auto (FIN_*)</t>
        </is>
      </c>
      <c r="U1" s="1" t="inlineStr">
        <is>
          <t>Décision finale</t>
        </is>
      </c>
      <c r="V1" s="1" t="inlineStr">
        <is>
          <t>Durée</t>
        </is>
      </c>
      <c r="W1" s="1" t="inlineStr">
        <is>
          <t>Conditions</t>
        </is>
      </c>
      <c r="X1" s="1" t="inlineStr">
        <is>
          <t>Aménagements recommandés (codes)</t>
        </is>
      </c>
      <c r="Y1" s="1" t="inlineStr">
        <is>
          <t>Aménagements recommandés (texte)</t>
        </is>
      </c>
      <c r="Z1" s="1" t="inlineStr">
        <is>
          <t>Notes libres</t>
        </is>
      </c>
    </row>
    <row r="2">
      <c r="T2" s="2">
        <f>IF($E2="&lt; 6 mois","FIN_A",IF($G2="Oui","FIN_A",IF($I2="Oui",IFERROR(IF(OR(ISNUMBER(SEARCH("hémianops",$J2)),ISNUMBER(SEARCH("hemianops",$J2)),ISNUMBER(SEARCH("quadranops",$J2)),ISNUMBER(SEARCH("diplop",$J2)),ISNUMBER(SEARCH("nystag",$J2)),ISNUMBER(SEARCH("saccad",$J2))),"FIN_A","FIN_E"),"FIN_E"),IF($K2="Oui","FIN_C",IF($M2="Oui","FIN_A",IF($N2="Oui","FIN_A",IF($O2="Oui","FIN_A",IF($P2="Oui","FIN_A",IF($Q2="Oui","FIN_D",IF($R2="Non","FIN_E",IF($S2="Oui","FIN_A","FIN_D"))))))))))))</f>
        <v/>
      </c>
      <c r="X2" s="2">
        <f>TEXTJOIN(", ",TRUE,IF($I2="Oui",IF(ISNUMBER(SEARCH("lent",$J2)),"01.02",IF(ISNUMBER(SEARCH("lunett",$J2)),"01.01","01.06")),""),IF(OR(ISNUMBER(SEARCH("diplop",$J2)),ISNUMBER(SEARCH("couvre",$J2)),ISNUMBER(SEARCH("occlus",$J2))),"01.05",""),IF(OR(ISNUMBER(SEARCH("main droite",$H2)),ISNUMBER(SEARCH("faiblesse droite",$H2)),ISNUMBER(SEARCH("hémipar",$H2)),ISNUMBER(SEARCH("hemipar",$H2))),"78",""),IF(OR(ISNUMBER(SEARCH("main",$H2)),ISNUMBER(SEARCH("membre supérieur",$H2)),ISNUMBER(SEARCH("membre superieur",$H2))),"03.01",""),IF(OR(ISNUMBER(SEARCH("équilibre",$H2)),ISNUMBER(SEARCH("equilibre",$H2)),ISNUMBER(SEARCH("atax",$H2))),"43.03",""),IF(OR(ISNUMBER(SEARCH("champ visuel",$J2)),ISNUMBER(SEARCH("hémianops",$J2)),ISNUMBER(SEARCH("hemianops",$J2))),"42.05",""),IF(OR(ISNUMBER(SEARCH("faiblesse",$H2)),ISNUMBER(SEARCH("spastic",$H2))),"40.11",""),IF(OR(ISNUMBER(SEARCH("faiblesse",$H2)),ISNUMBER(SEARCH("spastic",$H2))),"35.02",""))</f>
        <v/>
      </c>
      <c r="Y2" s="2">
        <f>TEXTJOIN(" | ",TRUE,IF($I2="Oui","Vision: correction (lunettes/lentilles) selon bilan ophtalmo.",""),IF(OR(ISNUMBER(SEARCH("diplop",$J2)),ISNUMBER(SEARCH("occlus",$J2))),"Si diplopie: prisme/occlusion/couvre-œil si indiqué + avis oph.",""),IF(OR(ISNUMBER(SEARCH("main droite",$H2)),ISNUMBER(SEARCH("hémipar",$H2)),ISNUMBER(SEARCH("hemipar",$H2))),"Si déficit MS: privilégier véhicule à boîte automatique + aide au volant/commandes.",""),IF(OR(ISNUMBER(SEARCH("équilibre",$H2)),ISNUMBER(SEARCH("equilibre",$H2)),ISNUMBER(SEARCH("atax",$H2))),"Si instabilité: siège avec soutien latéral / accoudoir.",""),IF(OR(ISNUMBER(SEARCH("hémianops",$J2)),ISNUMBER(SEARCH("hemianops",$J2))),"Si champ visuel limité: dispositifs de vision angle mort (si compatible) + avis spécialisé.",""))</f>
        <v/>
      </c>
    </row>
    <row r="3">
      <c r="T3" s="2">
        <f>IF($E3="&lt; 6 mois","FIN_A",IF($G3="Oui","FIN_A",IF($I3="Oui",IFERROR(IF(OR(ISNUMBER(SEARCH("hémianops",$J3)),ISNUMBER(SEARCH("hemianops",$J3)),ISNUMBER(SEARCH("quadranops",$J3)),ISNUMBER(SEARCH("diplop",$J3)),ISNUMBER(SEARCH("nystag",$J3)),ISNUMBER(SEARCH("saccad",$J3))),"FIN_A","FIN_E"),"FIN_E"),IF($K3="Oui","FIN_C",IF($M3="Oui","FIN_A",IF($N3="Oui","FIN_A",IF($O3="Oui","FIN_A",IF($P3="Oui","FIN_A",IF($Q3="Oui","FIN_D",IF($R3="Non","FIN_E",IF($S3="Oui","FIN_A","FIN_D"))))))))))))</f>
        <v/>
      </c>
      <c r="X3" s="2">
        <f>TEXTJOIN(", ",TRUE,IF($I3="Oui",IF(ISNUMBER(SEARCH("lent",$J3)),"01.02",IF(ISNUMBER(SEARCH("lunett",$J3)),"01.01","01.06")),""),IF(OR(ISNUMBER(SEARCH("diplop",$J3)),ISNUMBER(SEARCH("couvre",$J3)),ISNUMBER(SEARCH("occlus",$J3))),"01.05",""),IF(OR(ISNUMBER(SEARCH("main droite",$H3)),ISNUMBER(SEARCH("faiblesse droite",$H3)),ISNUMBER(SEARCH("hémipar",$H3)),ISNUMBER(SEARCH("hemipar",$H3))),"78",""),IF(OR(ISNUMBER(SEARCH("main",$H3)),ISNUMBER(SEARCH("membre supérieur",$H3)),ISNUMBER(SEARCH("membre superieur",$H3))),"03.01",""),IF(OR(ISNUMBER(SEARCH("équilibre",$H3)),ISNUMBER(SEARCH("equilibre",$H3)),ISNUMBER(SEARCH("atax",$H3))),"43.03",""),IF(OR(ISNUMBER(SEARCH("champ visuel",$J3)),ISNUMBER(SEARCH("hémianops",$J3)),ISNUMBER(SEARCH("hemianops",$J3))),"42.05",""),IF(OR(ISNUMBER(SEARCH("faiblesse",$H3)),ISNUMBER(SEARCH("spastic",$H3))),"40.11",""),IF(OR(ISNUMBER(SEARCH("faiblesse",$H3)),ISNUMBER(SEARCH("spastic",$H3))),"35.02",""))</f>
        <v/>
      </c>
      <c r="Y3" s="2">
        <f>TEXTJOIN(" | ",TRUE,IF($I3="Oui","Vision: correction (lunettes/lentilles) selon bilan ophtalmo.",""),IF(OR(ISNUMBER(SEARCH("diplop",$J3)),ISNUMBER(SEARCH("occlus",$J3))),"Si diplopie: prisme/occlusion/couvre-œil si indiqué + avis oph.",""),IF(OR(ISNUMBER(SEARCH("main droite",$H3)),ISNUMBER(SEARCH("hémipar",$H3)),ISNUMBER(SEARCH("hemipar",$H3))),"Si déficit MS: privilégier véhicule à boîte automatique + aide au volant/commandes.",""),IF(OR(ISNUMBER(SEARCH("équilibre",$H3)),ISNUMBER(SEARCH("equilibre",$H3)),ISNUMBER(SEARCH("atax",$H3))),"Si instabilité: siège avec soutien latéral / accoudoir.",""),IF(OR(ISNUMBER(SEARCH("hémianops",$J3)),ISNUMBER(SEARCH("hemianops",$J3))),"Si champ visuel limité: dispositifs de vision angle mort (si compatible) + avis spécialisé.",""))</f>
        <v/>
      </c>
    </row>
    <row r="4">
      <c r="T4" s="2">
        <f>IF($E4="&lt; 6 mois","FIN_A",IF($G4="Oui","FIN_A",IF($I4="Oui",IFERROR(IF(OR(ISNUMBER(SEARCH("hémianops",$J4)),ISNUMBER(SEARCH("hemianops",$J4)),ISNUMBER(SEARCH("quadranops",$J4)),ISNUMBER(SEARCH("diplop",$J4)),ISNUMBER(SEARCH("nystag",$J4)),ISNUMBER(SEARCH("saccad",$J4))),"FIN_A","FIN_E"),"FIN_E"),IF($K4="Oui","FIN_C",IF($M4="Oui","FIN_A",IF($N4="Oui","FIN_A",IF($O4="Oui","FIN_A",IF($P4="Oui","FIN_A",IF($Q4="Oui","FIN_D",IF($R4="Non","FIN_E",IF($S4="Oui","FIN_A","FIN_D"))))))))))))</f>
        <v/>
      </c>
      <c r="X4" s="2">
        <f>TEXTJOIN(", ",TRUE,IF($I4="Oui",IF(ISNUMBER(SEARCH("lent",$J4)),"01.02",IF(ISNUMBER(SEARCH("lunett",$J4)),"01.01","01.06")),""),IF(OR(ISNUMBER(SEARCH("diplop",$J4)),ISNUMBER(SEARCH("couvre",$J4)),ISNUMBER(SEARCH("occlus",$J4))),"01.05",""),IF(OR(ISNUMBER(SEARCH("main droite",$H4)),ISNUMBER(SEARCH("faiblesse droite",$H4)),ISNUMBER(SEARCH("hémipar",$H4)),ISNUMBER(SEARCH("hemipar",$H4))),"78",""),IF(OR(ISNUMBER(SEARCH("main",$H4)),ISNUMBER(SEARCH("membre supérieur",$H4)),ISNUMBER(SEARCH("membre superieur",$H4))),"03.01",""),IF(OR(ISNUMBER(SEARCH("équilibre",$H4)),ISNUMBER(SEARCH("equilibre",$H4)),ISNUMBER(SEARCH("atax",$H4))),"43.03",""),IF(OR(ISNUMBER(SEARCH("champ visuel",$J4)),ISNUMBER(SEARCH("hémianops",$J4)),ISNUMBER(SEARCH("hemianops",$J4))),"42.05",""),IF(OR(ISNUMBER(SEARCH("faiblesse",$H4)),ISNUMBER(SEARCH("spastic",$H4))),"40.11",""),IF(OR(ISNUMBER(SEARCH("faiblesse",$H4)),ISNUMBER(SEARCH("spastic",$H4))),"35.02",""))</f>
        <v/>
      </c>
      <c r="Y4" s="2">
        <f>TEXTJOIN(" | ",TRUE,IF($I4="Oui","Vision: correction (lunettes/lentilles) selon bilan ophtalmo.",""),IF(OR(ISNUMBER(SEARCH("diplop",$J4)),ISNUMBER(SEARCH("occlus",$J4))),"Si diplopie: prisme/occlusion/couvre-œil si indiqué + avis oph.",""),IF(OR(ISNUMBER(SEARCH("main droite",$H4)),ISNUMBER(SEARCH("hémipar",$H4)),ISNUMBER(SEARCH("hemipar",$H4))),"Si déficit MS: privilégier véhicule à boîte automatique + aide au volant/commandes.",""),IF(OR(ISNUMBER(SEARCH("équilibre",$H4)),ISNUMBER(SEARCH("equilibre",$H4)),ISNUMBER(SEARCH("atax",$H4))),"Si instabilité: siège avec soutien latéral / accoudoir.",""),IF(OR(ISNUMBER(SEARCH("hémianops",$J4)),ISNUMBER(SEARCH("hemianops",$J4))),"Si champ visuel limité: dispositifs de vision angle mort (si compatible) + avis spécialisé.",""))</f>
        <v/>
      </c>
    </row>
    <row r="5">
      <c r="T5" s="2">
        <f>IF($E5="&lt; 6 mois","FIN_A",IF($G5="Oui","FIN_A",IF($I5="Oui",IFERROR(IF(OR(ISNUMBER(SEARCH("hémianops",$J5)),ISNUMBER(SEARCH("hemianops",$J5)),ISNUMBER(SEARCH("quadranops",$J5)),ISNUMBER(SEARCH("diplop",$J5)),ISNUMBER(SEARCH("nystag",$J5)),ISNUMBER(SEARCH("saccad",$J5))),"FIN_A","FIN_E"),"FIN_E"),IF($K5="Oui","FIN_C",IF($M5="Oui","FIN_A",IF($N5="Oui","FIN_A",IF($O5="Oui","FIN_A",IF($P5="Oui","FIN_A",IF($Q5="Oui","FIN_D",IF($R5="Non","FIN_E",IF($S5="Oui","FIN_A","FIN_D"))))))))))))</f>
        <v/>
      </c>
      <c r="X5" s="2">
        <f>TEXTJOIN(", ",TRUE,IF($I5="Oui",IF(ISNUMBER(SEARCH("lent",$J5)),"01.02",IF(ISNUMBER(SEARCH("lunett",$J5)),"01.01","01.06")),""),IF(OR(ISNUMBER(SEARCH("diplop",$J5)),ISNUMBER(SEARCH("couvre",$J5)),ISNUMBER(SEARCH("occlus",$J5))),"01.05",""),IF(OR(ISNUMBER(SEARCH("main droite",$H5)),ISNUMBER(SEARCH("faiblesse droite",$H5)),ISNUMBER(SEARCH("hémipar",$H5)),ISNUMBER(SEARCH("hemipar",$H5))),"78",""),IF(OR(ISNUMBER(SEARCH("main",$H5)),ISNUMBER(SEARCH("membre supérieur",$H5)),ISNUMBER(SEARCH("membre superieur",$H5))),"03.01",""),IF(OR(ISNUMBER(SEARCH("équilibre",$H5)),ISNUMBER(SEARCH("equilibre",$H5)),ISNUMBER(SEARCH("atax",$H5))),"43.03",""),IF(OR(ISNUMBER(SEARCH("champ visuel",$J5)),ISNUMBER(SEARCH("hémianops",$J5)),ISNUMBER(SEARCH("hemianops",$J5))),"42.05",""),IF(OR(ISNUMBER(SEARCH("faiblesse",$H5)),ISNUMBER(SEARCH("spastic",$H5))),"40.11",""),IF(OR(ISNUMBER(SEARCH("faiblesse",$H5)),ISNUMBER(SEARCH("spastic",$H5))),"35.02",""))</f>
        <v/>
      </c>
      <c r="Y5" s="2">
        <f>TEXTJOIN(" | ",TRUE,IF($I5="Oui","Vision: correction (lunettes/lentilles) selon bilan ophtalmo.",""),IF(OR(ISNUMBER(SEARCH("diplop",$J5)),ISNUMBER(SEARCH("occlus",$J5))),"Si diplopie: prisme/occlusion/couvre-œil si indiqué + avis oph.",""),IF(OR(ISNUMBER(SEARCH("main droite",$H5)),ISNUMBER(SEARCH("hémipar",$H5)),ISNUMBER(SEARCH("hemipar",$H5))),"Si déficit MS: privilégier véhicule à boîte automatique + aide au volant/commandes.",""),IF(OR(ISNUMBER(SEARCH("équilibre",$H5)),ISNUMBER(SEARCH("equilibre",$H5)),ISNUMBER(SEARCH("atax",$H5))),"Si instabilité: siège avec soutien latéral / accoudoir.",""),IF(OR(ISNUMBER(SEARCH("hémianops",$J5)),ISNUMBER(SEARCH("hemianops",$J5))),"Si champ visuel limité: dispositifs de vision angle mort (si compatible) + avis spécialisé.",""))</f>
        <v/>
      </c>
    </row>
    <row r="6">
      <c r="T6" s="2">
        <f>IF($E6="&lt; 6 mois","FIN_A",IF($G6="Oui","FIN_A",IF($I6="Oui",IFERROR(IF(OR(ISNUMBER(SEARCH("hémianops",$J6)),ISNUMBER(SEARCH("hemianops",$J6)),ISNUMBER(SEARCH("quadranops",$J6)),ISNUMBER(SEARCH("diplop",$J6)),ISNUMBER(SEARCH("nystag",$J6)),ISNUMBER(SEARCH("saccad",$J6))),"FIN_A","FIN_E"),"FIN_E"),IF($K6="Oui","FIN_C",IF($M6="Oui","FIN_A",IF($N6="Oui","FIN_A",IF($O6="Oui","FIN_A",IF($P6="Oui","FIN_A",IF($Q6="Oui","FIN_D",IF($R6="Non","FIN_E",IF($S6="Oui","FIN_A","FIN_D"))))))))))))</f>
        <v/>
      </c>
      <c r="X6" s="2">
        <f>TEXTJOIN(", ",TRUE,IF($I6="Oui",IF(ISNUMBER(SEARCH("lent",$J6)),"01.02",IF(ISNUMBER(SEARCH("lunett",$J6)),"01.01","01.06")),""),IF(OR(ISNUMBER(SEARCH("diplop",$J6)),ISNUMBER(SEARCH("couvre",$J6)),ISNUMBER(SEARCH("occlus",$J6))),"01.05",""),IF(OR(ISNUMBER(SEARCH("main droite",$H6)),ISNUMBER(SEARCH("faiblesse droite",$H6)),ISNUMBER(SEARCH("hémipar",$H6)),ISNUMBER(SEARCH("hemipar",$H6))),"78",""),IF(OR(ISNUMBER(SEARCH("main",$H6)),ISNUMBER(SEARCH("membre supérieur",$H6)),ISNUMBER(SEARCH("membre superieur",$H6))),"03.01",""),IF(OR(ISNUMBER(SEARCH("équilibre",$H6)),ISNUMBER(SEARCH("equilibre",$H6)),ISNUMBER(SEARCH("atax",$H6))),"43.03",""),IF(OR(ISNUMBER(SEARCH("champ visuel",$J6)),ISNUMBER(SEARCH("hémianops",$J6)),ISNUMBER(SEARCH("hemianops",$J6))),"42.05",""),IF(OR(ISNUMBER(SEARCH("faiblesse",$H6)),ISNUMBER(SEARCH("spastic",$H6))),"40.11",""),IF(OR(ISNUMBER(SEARCH("faiblesse",$H6)),ISNUMBER(SEARCH("spastic",$H6))),"35.02",""))</f>
        <v/>
      </c>
      <c r="Y6" s="2">
        <f>TEXTJOIN(" | ",TRUE,IF($I6="Oui","Vision: correction (lunettes/lentilles) selon bilan ophtalmo.",""),IF(OR(ISNUMBER(SEARCH("diplop",$J6)),ISNUMBER(SEARCH("occlus",$J6))),"Si diplopie: prisme/occlusion/couvre-œil si indiqué + avis oph.",""),IF(OR(ISNUMBER(SEARCH("main droite",$H6)),ISNUMBER(SEARCH("hémipar",$H6)),ISNUMBER(SEARCH("hemipar",$H6))),"Si déficit MS: privilégier véhicule à boîte automatique + aide au volant/commandes.",""),IF(OR(ISNUMBER(SEARCH("équilibre",$H6)),ISNUMBER(SEARCH("equilibre",$H6)),ISNUMBER(SEARCH("atax",$H6))),"Si instabilité: siège avec soutien latéral / accoudoir.",""),IF(OR(ISNUMBER(SEARCH("hémianops",$J6)),ISNUMBER(SEARCH("hemianops",$J6))),"Si champ visuel limité: dispositifs de vision angle mort (si compatible) + avis spécialisé.",""))</f>
        <v/>
      </c>
    </row>
    <row r="7">
      <c r="T7" s="2">
        <f>IF($E7="&lt; 6 mois","FIN_A",IF($G7="Oui","FIN_A",IF($I7="Oui",IFERROR(IF(OR(ISNUMBER(SEARCH("hémianops",$J7)),ISNUMBER(SEARCH("hemianops",$J7)),ISNUMBER(SEARCH("quadranops",$J7)),ISNUMBER(SEARCH("diplop",$J7)),ISNUMBER(SEARCH("nystag",$J7)),ISNUMBER(SEARCH("saccad",$J7))),"FIN_A","FIN_E"),"FIN_E"),IF($K7="Oui","FIN_C",IF($M7="Oui","FIN_A",IF($N7="Oui","FIN_A",IF($O7="Oui","FIN_A",IF($P7="Oui","FIN_A",IF($Q7="Oui","FIN_D",IF($R7="Non","FIN_E",IF($S7="Oui","FIN_A","FIN_D"))))))))))))</f>
        <v/>
      </c>
      <c r="X7" s="2">
        <f>TEXTJOIN(", ",TRUE,IF($I7="Oui",IF(ISNUMBER(SEARCH("lent",$J7)),"01.02",IF(ISNUMBER(SEARCH("lunett",$J7)),"01.01","01.06")),""),IF(OR(ISNUMBER(SEARCH("diplop",$J7)),ISNUMBER(SEARCH("couvre",$J7)),ISNUMBER(SEARCH("occlus",$J7))),"01.05",""),IF(OR(ISNUMBER(SEARCH("main droite",$H7)),ISNUMBER(SEARCH("faiblesse droite",$H7)),ISNUMBER(SEARCH("hémipar",$H7)),ISNUMBER(SEARCH("hemipar",$H7))),"78",""),IF(OR(ISNUMBER(SEARCH("main",$H7)),ISNUMBER(SEARCH("membre supérieur",$H7)),ISNUMBER(SEARCH("membre superieur",$H7))),"03.01",""),IF(OR(ISNUMBER(SEARCH("équilibre",$H7)),ISNUMBER(SEARCH("equilibre",$H7)),ISNUMBER(SEARCH("atax",$H7))),"43.03",""),IF(OR(ISNUMBER(SEARCH("champ visuel",$J7)),ISNUMBER(SEARCH("hémianops",$J7)),ISNUMBER(SEARCH("hemianops",$J7))),"42.05",""),IF(OR(ISNUMBER(SEARCH("faiblesse",$H7)),ISNUMBER(SEARCH("spastic",$H7))),"40.11",""),IF(OR(ISNUMBER(SEARCH("faiblesse",$H7)),ISNUMBER(SEARCH("spastic",$H7))),"35.02",""))</f>
        <v/>
      </c>
      <c r="Y7" s="2">
        <f>TEXTJOIN(" | ",TRUE,IF($I7="Oui","Vision: correction (lunettes/lentilles) selon bilan ophtalmo.",""),IF(OR(ISNUMBER(SEARCH("diplop",$J7)),ISNUMBER(SEARCH("occlus",$J7))),"Si diplopie: prisme/occlusion/couvre-œil si indiqué + avis oph.",""),IF(OR(ISNUMBER(SEARCH("main droite",$H7)),ISNUMBER(SEARCH("hémipar",$H7)),ISNUMBER(SEARCH("hemipar",$H7))),"Si déficit MS: privilégier véhicule à boîte automatique + aide au volant/commandes.",""),IF(OR(ISNUMBER(SEARCH("équilibre",$H7)),ISNUMBER(SEARCH("equilibre",$H7)),ISNUMBER(SEARCH("atax",$H7))),"Si instabilité: siège avec soutien latéral / accoudoir.",""),IF(OR(ISNUMBER(SEARCH("hémianops",$J7)),ISNUMBER(SEARCH("hemianops",$J7))),"Si champ visuel limité: dispositifs de vision angle mort (si compatible) + avis spécialisé.",""))</f>
        <v/>
      </c>
    </row>
    <row r="8">
      <c r="T8" s="2">
        <f>IF($E8="&lt; 6 mois","FIN_A",IF($G8="Oui","FIN_A",IF($I8="Oui",IFERROR(IF(OR(ISNUMBER(SEARCH("hémianops",$J8)),ISNUMBER(SEARCH("hemianops",$J8)),ISNUMBER(SEARCH("quadranops",$J8)),ISNUMBER(SEARCH("diplop",$J8)),ISNUMBER(SEARCH("nystag",$J8)),ISNUMBER(SEARCH("saccad",$J8))),"FIN_A","FIN_E"),"FIN_E"),IF($K8="Oui","FIN_C",IF($M8="Oui","FIN_A",IF($N8="Oui","FIN_A",IF($O8="Oui","FIN_A",IF($P8="Oui","FIN_A",IF($Q8="Oui","FIN_D",IF($R8="Non","FIN_E",IF($S8="Oui","FIN_A","FIN_D"))))))))))))</f>
        <v/>
      </c>
      <c r="X8" s="2">
        <f>TEXTJOIN(", ",TRUE,IF($I8="Oui",IF(ISNUMBER(SEARCH("lent",$J8)),"01.02",IF(ISNUMBER(SEARCH("lunett",$J8)),"01.01","01.06")),""),IF(OR(ISNUMBER(SEARCH("diplop",$J8)),ISNUMBER(SEARCH("couvre",$J8)),ISNUMBER(SEARCH("occlus",$J8))),"01.05",""),IF(OR(ISNUMBER(SEARCH("main droite",$H8)),ISNUMBER(SEARCH("faiblesse droite",$H8)),ISNUMBER(SEARCH("hémipar",$H8)),ISNUMBER(SEARCH("hemipar",$H8))),"78",""),IF(OR(ISNUMBER(SEARCH("main",$H8)),ISNUMBER(SEARCH("membre supérieur",$H8)),ISNUMBER(SEARCH("membre superieur",$H8))),"03.01",""),IF(OR(ISNUMBER(SEARCH("équilibre",$H8)),ISNUMBER(SEARCH("equilibre",$H8)),ISNUMBER(SEARCH("atax",$H8))),"43.03",""),IF(OR(ISNUMBER(SEARCH("champ visuel",$J8)),ISNUMBER(SEARCH("hémianops",$J8)),ISNUMBER(SEARCH("hemianops",$J8))),"42.05",""),IF(OR(ISNUMBER(SEARCH("faiblesse",$H8)),ISNUMBER(SEARCH("spastic",$H8))),"40.11",""),IF(OR(ISNUMBER(SEARCH("faiblesse",$H8)),ISNUMBER(SEARCH("spastic",$H8))),"35.02",""))</f>
        <v/>
      </c>
      <c r="Y8" s="2">
        <f>TEXTJOIN(" | ",TRUE,IF($I8="Oui","Vision: correction (lunettes/lentilles) selon bilan ophtalmo.",""),IF(OR(ISNUMBER(SEARCH("diplop",$J8)),ISNUMBER(SEARCH("occlus",$J8))),"Si diplopie: prisme/occlusion/couvre-œil si indiqué + avis oph.",""),IF(OR(ISNUMBER(SEARCH("main droite",$H8)),ISNUMBER(SEARCH("hémipar",$H8)),ISNUMBER(SEARCH("hemipar",$H8))),"Si déficit MS: privilégier véhicule à boîte automatique + aide au volant/commandes.",""),IF(OR(ISNUMBER(SEARCH("équilibre",$H8)),ISNUMBER(SEARCH("equilibre",$H8)),ISNUMBER(SEARCH("atax",$H8))),"Si instabilité: siège avec soutien latéral / accoudoir.",""),IF(OR(ISNUMBER(SEARCH("hémianops",$J8)),ISNUMBER(SEARCH("hemianops",$J8))),"Si champ visuel limité: dispositifs de vision angle mort (si compatible) + avis spécialisé.",""))</f>
        <v/>
      </c>
    </row>
    <row r="9">
      <c r="T9" s="2">
        <f>IF($E9="&lt; 6 mois","FIN_A",IF($G9="Oui","FIN_A",IF($I9="Oui",IFERROR(IF(OR(ISNUMBER(SEARCH("hémianops",$J9)),ISNUMBER(SEARCH("hemianops",$J9)),ISNUMBER(SEARCH("quadranops",$J9)),ISNUMBER(SEARCH("diplop",$J9)),ISNUMBER(SEARCH("nystag",$J9)),ISNUMBER(SEARCH("saccad",$J9))),"FIN_A","FIN_E"),"FIN_E"),IF($K9="Oui","FIN_C",IF($M9="Oui","FIN_A",IF($N9="Oui","FIN_A",IF($O9="Oui","FIN_A",IF($P9="Oui","FIN_A",IF($Q9="Oui","FIN_D",IF($R9="Non","FIN_E",IF($S9="Oui","FIN_A","FIN_D"))))))))))))</f>
        <v/>
      </c>
      <c r="X9" s="2">
        <f>TEXTJOIN(", ",TRUE,IF($I9="Oui",IF(ISNUMBER(SEARCH("lent",$J9)),"01.02",IF(ISNUMBER(SEARCH("lunett",$J9)),"01.01","01.06")),""),IF(OR(ISNUMBER(SEARCH("diplop",$J9)),ISNUMBER(SEARCH("couvre",$J9)),ISNUMBER(SEARCH("occlus",$J9))),"01.05",""),IF(OR(ISNUMBER(SEARCH("main droite",$H9)),ISNUMBER(SEARCH("faiblesse droite",$H9)),ISNUMBER(SEARCH("hémipar",$H9)),ISNUMBER(SEARCH("hemipar",$H9))),"78",""),IF(OR(ISNUMBER(SEARCH("main",$H9)),ISNUMBER(SEARCH("membre supérieur",$H9)),ISNUMBER(SEARCH("membre superieur",$H9))),"03.01",""),IF(OR(ISNUMBER(SEARCH("équilibre",$H9)),ISNUMBER(SEARCH("equilibre",$H9)),ISNUMBER(SEARCH("atax",$H9))),"43.03",""),IF(OR(ISNUMBER(SEARCH("champ visuel",$J9)),ISNUMBER(SEARCH("hémianops",$J9)),ISNUMBER(SEARCH("hemianops",$J9))),"42.05",""),IF(OR(ISNUMBER(SEARCH("faiblesse",$H9)),ISNUMBER(SEARCH("spastic",$H9))),"40.11",""),IF(OR(ISNUMBER(SEARCH("faiblesse",$H9)),ISNUMBER(SEARCH("spastic",$H9))),"35.02",""))</f>
        <v/>
      </c>
      <c r="Y9" s="2">
        <f>TEXTJOIN(" | ",TRUE,IF($I9="Oui","Vision: correction (lunettes/lentilles) selon bilan ophtalmo.",""),IF(OR(ISNUMBER(SEARCH("diplop",$J9)),ISNUMBER(SEARCH("occlus",$J9))),"Si diplopie: prisme/occlusion/couvre-œil si indiqué + avis oph.",""),IF(OR(ISNUMBER(SEARCH("main droite",$H9)),ISNUMBER(SEARCH("hémipar",$H9)),ISNUMBER(SEARCH("hemipar",$H9))),"Si déficit MS: privilégier véhicule à boîte automatique + aide au volant/commandes.",""),IF(OR(ISNUMBER(SEARCH("équilibre",$H9)),ISNUMBER(SEARCH("equilibre",$H9)),ISNUMBER(SEARCH("atax",$H9))),"Si instabilité: siège avec soutien latéral / accoudoir.",""),IF(OR(ISNUMBER(SEARCH("hémianops",$J9)),ISNUMBER(SEARCH("hemianops",$J9))),"Si champ visuel limité: dispositifs de vision angle mort (si compatible) + avis spécialisé.",""))</f>
        <v/>
      </c>
    </row>
    <row r="10">
      <c r="T10" s="2">
        <f>IF($E10="&lt; 6 mois","FIN_A",IF($G10="Oui","FIN_A",IF($I10="Oui",IFERROR(IF(OR(ISNUMBER(SEARCH("hémianops",$J10)),ISNUMBER(SEARCH("hemianops",$J10)),ISNUMBER(SEARCH("quadranops",$J10)),ISNUMBER(SEARCH("diplop",$J10)),ISNUMBER(SEARCH("nystag",$J10)),ISNUMBER(SEARCH("saccad",$J10))),"FIN_A","FIN_E"),"FIN_E"),IF($K10="Oui","FIN_C",IF($M10="Oui","FIN_A",IF($N10="Oui","FIN_A",IF($O10="Oui","FIN_A",IF($P10="Oui","FIN_A",IF($Q10="Oui","FIN_D",IF($R10="Non","FIN_E",IF($S10="Oui","FIN_A","FIN_D"))))))))))))</f>
        <v/>
      </c>
      <c r="X10" s="2">
        <f>TEXTJOIN(", ",TRUE,IF($I10="Oui",IF(ISNUMBER(SEARCH("lent",$J10)),"01.02",IF(ISNUMBER(SEARCH("lunett",$J10)),"01.01","01.06")),""),IF(OR(ISNUMBER(SEARCH("diplop",$J10)),ISNUMBER(SEARCH("couvre",$J10)),ISNUMBER(SEARCH("occlus",$J10))),"01.05",""),IF(OR(ISNUMBER(SEARCH("main droite",$H10)),ISNUMBER(SEARCH("faiblesse droite",$H10)),ISNUMBER(SEARCH("hémipar",$H10)),ISNUMBER(SEARCH("hemipar",$H10))),"78",""),IF(OR(ISNUMBER(SEARCH("main",$H10)),ISNUMBER(SEARCH("membre supérieur",$H10)),ISNUMBER(SEARCH("membre superieur",$H10))),"03.01",""),IF(OR(ISNUMBER(SEARCH("équilibre",$H10)),ISNUMBER(SEARCH("equilibre",$H10)),ISNUMBER(SEARCH("atax",$H10))),"43.03",""),IF(OR(ISNUMBER(SEARCH("champ visuel",$J10)),ISNUMBER(SEARCH("hémianops",$J10)),ISNUMBER(SEARCH("hemianops",$J10))),"42.05",""),IF(OR(ISNUMBER(SEARCH("faiblesse",$H10)),ISNUMBER(SEARCH("spastic",$H10))),"40.11",""),IF(OR(ISNUMBER(SEARCH("faiblesse",$H10)),ISNUMBER(SEARCH("spastic",$H10))),"35.02",""))</f>
        <v/>
      </c>
      <c r="Y10" s="2">
        <f>TEXTJOIN(" | ",TRUE,IF($I10="Oui","Vision: correction (lunettes/lentilles) selon bilan ophtalmo.",""),IF(OR(ISNUMBER(SEARCH("diplop",$J10)),ISNUMBER(SEARCH("occlus",$J10))),"Si diplopie: prisme/occlusion/couvre-œil si indiqué + avis oph.",""),IF(OR(ISNUMBER(SEARCH("main droite",$H10)),ISNUMBER(SEARCH("hémipar",$H10)),ISNUMBER(SEARCH("hemipar",$H10))),"Si déficit MS: privilégier véhicule à boîte automatique + aide au volant/commandes.",""),IF(OR(ISNUMBER(SEARCH("équilibre",$H10)),ISNUMBER(SEARCH("equilibre",$H10)),ISNUMBER(SEARCH("atax",$H10))),"Si instabilité: siège avec soutien latéral / accoudoir.",""),IF(OR(ISNUMBER(SEARCH("hémianops",$J10)),ISNUMBER(SEARCH("hemianops",$J10))),"Si champ visuel limité: dispositifs de vision angle mort (si compatible) + avis spécialisé.",""))</f>
        <v/>
      </c>
    </row>
    <row r="11">
      <c r="T11" s="2">
        <f>IF($E11="&lt; 6 mois","FIN_A",IF($G11="Oui","FIN_A",IF($I11="Oui",IFERROR(IF(OR(ISNUMBER(SEARCH("hémianops",$J11)),ISNUMBER(SEARCH("hemianops",$J11)),ISNUMBER(SEARCH("quadranops",$J11)),ISNUMBER(SEARCH("diplop",$J11)),ISNUMBER(SEARCH("nystag",$J11)),ISNUMBER(SEARCH("saccad",$J11))),"FIN_A","FIN_E"),"FIN_E"),IF($K11="Oui","FIN_C",IF($M11="Oui","FIN_A",IF($N11="Oui","FIN_A",IF($O11="Oui","FIN_A",IF($P11="Oui","FIN_A",IF($Q11="Oui","FIN_D",IF($R11="Non","FIN_E",IF($S11="Oui","FIN_A","FIN_D"))))))))))))</f>
        <v/>
      </c>
      <c r="X11" s="2">
        <f>TEXTJOIN(", ",TRUE,IF($I11="Oui",IF(ISNUMBER(SEARCH("lent",$J11)),"01.02",IF(ISNUMBER(SEARCH("lunett",$J11)),"01.01","01.06")),""),IF(OR(ISNUMBER(SEARCH("diplop",$J11)),ISNUMBER(SEARCH("couvre",$J11)),ISNUMBER(SEARCH("occlus",$J11))),"01.05",""),IF(OR(ISNUMBER(SEARCH("main droite",$H11)),ISNUMBER(SEARCH("faiblesse droite",$H11)),ISNUMBER(SEARCH("hémipar",$H11)),ISNUMBER(SEARCH("hemipar",$H11))),"78",""),IF(OR(ISNUMBER(SEARCH("main",$H11)),ISNUMBER(SEARCH("membre supérieur",$H11)),ISNUMBER(SEARCH("membre superieur",$H11))),"03.01",""),IF(OR(ISNUMBER(SEARCH("équilibre",$H11)),ISNUMBER(SEARCH("equilibre",$H11)),ISNUMBER(SEARCH("atax",$H11))),"43.03",""),IF(OR(ISNUMBER(SEARCH("champ visuel",$J11)),ISNUMBER(SEARCH("hémianops",$J11)),ISNUMBER(SEARCH("hemianops",$J11))),"42.05",""),IF(OR(ISNUMBER(SEARCH("faiblesse",$H11)),ISNUMBER(SEARCH("spastic",$H11))),"40.11",""),IF(OR(ISNUMBER(SEARCH("faiblesse",$H11)),ISNUMBER(SEARCH("spastic",$H11))),"35.02",""))</f>
        <v/>
      </c>
      <c r="Y11" s="2">
        <f>TEXTJOIN(" | ",TRUE,IF($I11="Oui","Vision: correction (lunettes/lentilles) selon bilan ophtalmo.",""),IF(OR(ISNUMBER(SEARCH("diplop",$J11)),ISNUMBER(SEARCH("occlus",$J11))),"Si diplopie: prisme/occlusion/couvre-œil si indiqué + avis oph.",""),IF(OR(ISNUMBER(SEARCH("main droite",$H11)),ISNUMBER(SEARCH("hémipar",$H11)),ISNUMBER(SEARCH("hemipar",$H11))),"Si déficit MS: privilégier véhicule à boîte automatique + aide au volant/commandes.",""),IF(OR(ISNUMBER(SEARCH("équilibre",$H11)),ISNUMBER(SEARCH("equilibre",$H11)),ISNUMBER(SEARCH("atax",$H11))),"Si instabilité: siège avec soutien latéral / accoudoir.",""),IF(OR(ISNUMBER(SEARCH("hémianops",$J11)),ISNUMBER(SEARCH("hemianops",$J11))),"Si champ visuel limité: dispositifs de vision angle mort (si compatible) + avis spécialisé.",""))</f>
        <v/>
      </c>
    </row>
    <row r="12">
      <c r="T12" s="2">
        <f>IF($E12="&lt; 6 mois","FIN_A",IF($G12="Oui","FIN_A",IF($I12="Oui",IFERROR(IF(OR(ISNUMBER(SEARCH("hémianops",$J12)),ISNUMBER(SEARCH("hemianops",$J12)),ISNUMBER(SEARCH("quadranops",$J12)),ISNUMBER(SEARCH("diplop",$J12)),ISNUMBER(SEARCH("nystag",$J12)),ISNUMBER(SEARCH("saccad",$J12))),"FIN_A","FIN_E"),"FIN_E"),IF($K12="Oui","FIN_C",IF($M12="Oui","FIN_A",IF($N12="Oui","FIN_A",IF($O12="Oui","FIN_A",IF($P12="Oui","FIN_A",IF($Q12="Oui","FIN_D",IF($R12="Non","FIN_E",IF($S12="Oui","FIN_A","FIN_D"))))))))))))</f>
        <v/>
      </c>
      <c r="X12" s="2">
        <f>TEXTJOIN(", ",TRUE,IF($I12="Oui",IF(ISNUMBER(SEARCH("lent",$J12)),"01.02",IF(ISNUMBER(SEARCH("lunett",$J12)),"01.01","01.06")),""),IF(OR(ISNUMBER(SEARCH("diplop",$J12)),ISNUMBER(SEARCH("couvre",$J12)),ISNUMBER(SEARCH("occlus",$J12))),"01.05",""),IF(OR(ISNUMBER(SEARCH("main droite",$H12)),ISNUMBER(SEARCH("faiblesse droite",$H12)),ISNUMBER(SEARCH("hémipar",$H12)),ISNUMBER(SEARCH("hemipar",$H12))),"78",""),IF(OR(ISNUMBER(SEARCH("main",$H12)),ISNUMBER(SEARCH("membre supérieur",$H12)),ISNUMBER(SEARCH("membre superieur",$H12))),"03.01",""),IF(OR(ISNUMBER(SEARCH("équilibre",$H12)),ISNUMBER(SEARCH("equilibre",$H12)),ISNUMBER(SEARCH("atax",$H12))),"43.03",""),IF(OR(ISNUMBER(SEARCH("champ visuel",$J12)),ISNUMBER(SEARCH("hémianops",$J12)),ISNUMBER(SEARCH("hemianops",$J12))),"42.05",""),IF(OR(ISNUMBER(SEARCH("faiblesse",$H12)),ISNUMBER(SEARCH("spastic",$H12))),"40.11",""),IF(OR(ISNUMBER(SEARCH("faiblesse",$H12)),ISNUMBER(SEARCH("spastic",$H12))),"35.02",""))</f>
        <v/>
      </c>
      <c r="Y12" s="2">
        <f>TEXTJOIN(" | ",TRUE,IF($I12="Oui","Vision: correction (lunettes/lentilles) selon bilan ophtalmo.",""),IF(OR(ISNUMBER(SEARCH("diplop",$J12)),ISNUMBER(SEARCH("occlus",$J12))),"Si diplopie: prisme/occlusion/couvre-œil si indiqué + avis oph.",""),IF(OR(ISNUMBER(SEARCH("main droite",$H12)),ISNUMBER(SEARCH("hémipar",$H12)),ISNUMBER(SEARCH("hemipar",$H12))),"Si déficit MS: privilégier véhicule à boîte automatique + aide au volant/commandes.",""),IF(OR(ISNUMBER(SEARCH("équilibre",$H12)),ISNUMBER(SEARCH("equilibre",$H12)),ISNUMBER(SEARCH("atax",$H12))),"Si instabilité: siège avec soutien latéral / accoudoir.",""),IF(OR(ISNUMBER(SEARCH("hémianops",$J12)),ISNUMBER(SEARCH("hemianops",$J12))),"Si champ visuel limité: dispositifs de vision angle mort (si compatible) + avis spécialisé.",""))</f>
        <v/>
      </c>
    </row>
    <row r="13">
      <c r="T13" s="2">
        <f>IF($E13="&lt; 6 mois","FIN_A",IF($G13="Oui","FIN_A",IF($I13="Oui",IFERROR(IF(OR(ISNUMBER(SEARCH("hémianops",$J13)),ISNUMBER(SEARCH("hemianops",$J13)),ISNUMBER(SEARCH("quadranops",$J13)),ISNUMBER(SEARCH("diplop",$J13)),ISNUMBER(SEARCH("nystag",$J13)),ISNUMBER(SEARCH("saccad",$J13))),"FIN_A","FIN_E"),"FIN_E"),IF($K13="Oui","FIN_C",IF($M13="Oui","FIN_A",IF($N13="Oui","FIN_A",IF($O13="Oui","FIN_A",IF($P13="Oui","FIN_A",IF($Q13="Oui","FIN_D",IF($R13="Non","FIN_E",IF($S13="Oui","FIN_A","FIN_D"))))))))))))</f>
        <v/>
      </c>
      <c r="X13" s="2">
        <f>TEXTJOIN(", ",TRUE,IF($I13="Oui",IF(ISNUMBER(SEARCH("lent",$J13)),"01.02",IF(ISNUMBER(SEARCH("lunett",$J13)),"01.01","01.06")),""),IF(OR(ISNUMBER(SEARCH("diplop",$J13)),ISNUMBER(SEARCH("couvre",$J13)),ISNUMBER(SEARCH("occlus",$J13))),"01.05",""),IF(OR(ISNUMBER(SEARCH("main droite",$H13)),ISNUMBER(SEARCH("faiblesse droite",$H13)),ISNUMBER(SEARCH("hémipar",$H13)),ISNUMBER(SEARCH("hemipar",$H13))),"78",""),IF(OR(ISNUMBER(SEARCH("main",$H13)),ISNUMBER(SEARCH("membre supérieur",$H13)),ISNUMBER(SEARCH("membre superieur",$H13))),"03.01",""),IF(OR(ISNUMBER(SEARCH("équilibre",$H13)),ISNUMBER(SEARCH("equilibre",$H13)),ISNUMBER(SEARCH("atax",$H13))),"43.03",""),IF(OR(ISNUMBER(SEARCH("champ visuel",$J13)),ISNUMBER(SEARCH("hémianops",$J13)),ISNUMBER(SEARCH("hemianops",$J13))),"42.05",""),IF(OR(ISNUMBER(SEARCH("faiblesse",$H13)),ISNUMBER(SEARCH("spastic",$H13))),"40.11",""),IF(OR(ISNUMBER(SEARCH("faiblesse",$H13)),ISNUMBER(SEARCH("spastic",$H13))),"35.02",""))</f>
        <v/>
      </c>
      <c r="Y13" s="2">
        <f>TEXTJOIN(" | ",TRUE,IF($I13="Oui","Vision: correction (lunettes/lentilles) selon bilan ophtalmo.",""),IF(OR(ISNUMBER(SEARCH("diplop",$J13)),ISNUMBER(SEARCH("occlus",$J13))),"Si diplopie: prisme/occlusion/couvre-œil si indiqué + avis oph.",""),IF(OR(ISNUMBER(SEARCH("main droite",$H13)),ISNUMBER(SEARCH("hémipar",$H13)),ISNUMBER(SEARCH("hemipar",$H13))),"Si déficit MS: privilégier véhicule à boîte automatique + aide au volant/commandes.",""),IF(OR(ISNUMBER(SEARCH("équilibre",$H13)),ISNUMBER(SEARCH("equilibre",$H13)),ISNUMBER(SEARCH("atax",$H13))),"Si instabilité: siège avec soutien latéral / accoudoir.",""),IF(OR(ISNUMBER(SEARCH("hémianops",$J13)),ISNUMBER(SEARCH("hemianops",$J13))),"Si champ visuel limité: dispositifs de vision angle mort (si compatible) + avis spécialisé.",""))</f>
        <v/>
      </c>
    </row>
    <row r="14">
      <c r="T14" s="2">
        <f>IF($E14="&lt; 6 mois","FIN_A",IF($G14="Oui","FIN_A",IF($I14="Oui",IFERROR(IF(OR(ISNUMBER(SEARCH("hémianops",$J14)),ISNUMBER(SEARCH("hemianops",$J14)),ISNUMBER(SEARCH("quadranops",$J14)),ISNUMBER(SEARCH("diplop",$J14)),ISNUMBER(SEARCH("nystag",$J14)),ISNUMBER(SEARCH("saccad",$J14))),"FIN_A","FIN_E"),"FIN_E"),IF($K14="Oui","FIN_C",IF($M14="Oui","FIN_A",IF($N14="Oui","FIN_A",IF($O14="Oui","FIN_A",IF($P14="Oui","FIN_A",IF($Q14="Oui","FIN_D",IF($R14="Non","FIN_E",IF($S14="Oui","FIN_A","FIN_D"))))))))))))</f>
        <v/>
      </c>
      <c r="X14" s="2">
        <f>TEXTJOIN(", ",TRUE,IF($I14="Oui",IF(ISNUMBER(SEARCH("lent",$J14)),"01.02",IF(ISNUMBER(SEARCH("lunett",$J14)),"01.01","01.06")),""),IF(OR(ISNUMBER(SEARCH("diplop",$J14)),ISNUMBER(SEARCH("couvre",$J14)),ISNUMBER(SEARCH("occlus",$J14))),"01.05",""),IF(OR(ISNUMBER(SEARCH("main droite",$H14)),ISNUMBER(SEARCH("faiblesse droite",$H14)),ISNUMBER(SEARCH("hémipar",$H14)),ISNUMBER(SEARCH("hemipar",$H14))),"78",""),IF(OR(ISNUMBER(SEARCH("main",$H14)),ISNUMBER(SEARCH("membre supérieur",$H14)),ISNUMBER(SEARCH("membre superieur",$H14))),"03.01",""),IF(OR(ISNUMBER(SEARCH("équilibre",$H14)),ISNUMBER(SEARCH("equilibre",$H14)),ISNUMBER(SEARCH("atax",$H14))),"43.03",""),IF(OR(ISNUMBER(SEARCH("champ visuel",$J14)),ISNUMBER(SEARCH("hémianops",$J14)),ISNUMBER(SEARCH("hemianops",$J14))),"42.05",""),IF(OR(ISNUMBER(SEARCH("faiblesse",$H14)),ISNUMBER(SEARCH("spastic",$H14))),"40.11",""),IF(OR(ISNUMBER(SEARCH("faiblesse",$H14)),ISNUMBER(SEARCH("spastic",$H14))),"35.02",""))</f>
        <v/>
      </c>
      <c r="Y14" s="2">
        <f>TEXTJOIN(" | ",TRUE,IF($I14="Oui","Vision: correction (lunettes/lentilles) selon bilan ophtalmo.",""),IF(OR(ISNUMBER(SEARCH("diplop",$J14)),ISNUMBER(SEARCH("occlus",$J14))),"Si diplopie: prisme/occlusion/couvre-œil si indiqué + avis oph.",""),IF(OR(ISNUMBER(SEARCH("main droite",$H14)),ISNUMBER(SEARCH("hémipar",$H14)),ISNUMBER(SEARCH("hemipar",$H14))),"Si déficit MS: privilégier véhicule à boîte automatique + aide au volant/commandes.",""),IF(OR(ISNUMBER(SEARCH("équilibre",$H14)),ISNUMBER(SEARCH("equilibre",$H14)),ISNUMBER(SEARCH("atax",$H14))),"Si instabilité: siège avec soutien latéral / accoudoir.",""),IF(OR(ISNUMBER(SEARCH("hémianops",$J14)),ISNUMBER(SEARCH("hemianops",$J14))),"Si champ visuel limité: dispositifs de vision angle mort (si compatible) + avis spécialisé.",""))</f>
        <v/>
      </c>
    </row>
    <row r="15">
      <c r="T15" s="2">
        <f>IF($E15="&lt; 6 mois","FIN_A",IF($G15="Oui","FIN_A",IF($I15="Oui",IFERROR(IF(OR(ISNUMBER(SEARCH("hémianops",$J15)),ISNUMBER(SEARCH("hemianops",$J15)),ISNUMBER(SEARCH("quadranops",$J15)),ISNUMBER(SEARCH("diplop",$J15)),ISNUMBER(SEARCH("nystag",$J15)),ISNUMBER(SEARCH("saccad",$J15))),"FIN_A","FIN_E"),"FIN_E"),IF($K15="Oui","FIN_C",IF($M15="Oui","FIN_A",IF($N15="Oui","FIN_A",IF($O15="Oui","FIN_A",IF($P15="Oui","FIN_A",IF($Q15="Oui","FIN_D",IF($R15="Non","FIN_E",IF($S15="Oui","FIN_A","FIN_D"))))))))))))</f>
        <v/>
      </c>
      <c r="X15" s="2">
        <f>TEXTJOIN(", ",TRUE,IF($I15="Oui",IF(ISNUMBER(SEARCH("lent",$J15)),"01.02",IF(ISNUMBER(SEARCH("lunett",$J15)),"01.01","01.06")),""),IF(OR(ISNUMBER(SEARCH("diplop",$J15)),ISNUMBER(SEARCH("couvre",$J15)),ISNUMBER(SEARCH("occlus",$J15))),"01.05",""),IF(OR(ISNUMBER(SEARCH("main droite",$H15)),ISNUMBER(SEARCH("faiblesse droite",$H15)),ISNUMBER(SEARCH("hémipar",$H15)),ISNUMBER(SEARCH("hemipar",$H15))),"78",""),IF(OR(ISNUMBER(SEARCH("main",$H15)),ISNUMBER(SEARCH("membre supérieur",$H15)),ISNUMBER(SEARCH("membre superieur",$H15))),"03.01",""),IF(OR(ISNUMBER(SEARCH("équilibre",$H15)),ISNUMBER(SEARCH("equilibre",$H15)),ISNUMBER(SEARCH("atax",$H15))),"43.03",""),IF(OR(ISNUMBER(SEARCH("champ visuel",$J15)),ISNUMBER(SEARCH("hémianops",$J15)),ISNUMBER(SEARCH("hemianops",$J15))),"42.05",""),IF(OR(ISNUMBER(SEARCH("faiblesse",$H15)),ISNUMBER(SEARCH("spastic",$H15))),"40.11",""),IF(OR(ISNUMBER(SEARCH("faiblesse",$H15)),ISNUMBER(SEARCH("spastic",$H15))),"35.02",""))</f>
        <v/>
      </c>
      <c r="Y15" s="2">
        <f>TEXTJOIN(" | ",TRUE,IF($I15="Oui","Vision: correction (lunettes/lentilles) selon bilan ophtalmo.",""),IF(OR(ISNUMBER(SEARCH("diplop",$J15)),ISNUMBER(SEARCH("occlus",$J15))),"Si diplopie: prisme/occlusion/couvre-œil si indiqué + avis oph.",""),IF(OR(ISNUMBER(SEARCH("main droite",$H15)),ISNUMBER(SEARCH("hémipar",$H15)),ISNUMBER(SEARCH("hemipar",$H15))),"Si déficit MS: privilégier véhicule à boîte automatique + aide au volant/commandes.",""),IF(OR(ISNUMBER(SEARCH("équilibre",$H15)),ISNUMBER(SEARCH("equilibre",$H15)),ISNUMBER(SEARCH("atax",$H15))),"Si instabilité: siège avec soutien latéral / accoudoir.",""),IF(OR(ISNUMBER(SEARCH("hémianops",$J15)),ISNUMBER(SEARCH("hemianops",$J15))),"Si champ visuel limité: dispositifs de vision angle mort (si compatible) + avis spécialisé.",""))</f>
        <v/>
      </c>
    </row>
    <row r="16">
      <c r="T16" s="2">
        <f>IF($E16="&lt; 6 mois","FIN_A",IF($G16="Oui","FIN_A",IF($I16="Oui",IFERROR(IF(OR(ISNUMBER(SEARCH("hémianops",$J16)),ISNUMBER(SEARCH("hemianops",$J16)),ISNUMBER(SEARCH("quadranops",$J16)),ISNUMBER(SEARCH("diplop",$J16)),ISNUMBER(SEARCH("nystag",$J16)),ISNUMBER(SEARCH("saccad",$J16))),"FIN_A","FIN_E"),"FIN_E"),IF($K16="Oui","FIN_C",IF($M16="Oui","FIN_A",IF($N16="Oui","FIN_A",IF($O16="Oui","FIN_A",IF($P16="Oui","FIN_A",IF($Q16="Oui","FIN_D",IF($R16="Non","FIN_E",IF($S16="Oui","FIN_A","FIN_D"))))))))))))</f>
        <v/>
      </c>
      <c r="X16" s="2">
        <f>TEXTJOIN(", ",TRUE,IF($I16="Oui",IF(ISNUMBER(SEARCH("lent",$J16)),"01.02",IF(ISNUMBER(SEARCH("lunett",$J16)),"01.01","01.06")),""),IF(OR(ISNUMBER(SEARCH("diplop",$J16)),ISNUMBER(SEARCH("couvre",$J16)),ISNUMBER(SEARCH("occlus",$J16))),"01.05",""),IF(OR(ISNUMBER(SEARCH("main droite",$H16)),ISNUMBER(SEARCH("faiblesse droite",$H16)),ISNUMBER(SEARCH("hémipar",$H16)),ISNUMBER(SEARCH("hemipar",$H16))),"78",""),IF(OR(ISNUMBER(SEARCH("main",$H16)),ISNUMBER(SEARCH("membre supérieur",$H16)),ISNUMBER(SEARCH("membre superieur",$H16))),"03.01",""),IF(OR(ISNUMBER(SEARCH("équilibre",$H16)),ISNUMBER(SEARCH("equilibre",$H16)),ISNUMBER(SEARCH("atax",$H16))),"43.03",""),IF(OR(ISNUMBER(SEARCH("champ visuel",$J16)),ISNUMBER(SEARCH("hémianops",$J16)),ISNUMBER(SEARCH("hemianops",$J16))),"42.05",""),IF(OR(ISNUMBER(SEARCH("faiblesse",$H16)),ISNUMBER(SEARCH("spastic",$H16))),"40.11",""),IF(OR(ISNUMBER(SEARCH("faiblesse",$H16)),ISNUMBER(SEARCH("spastic",$H16))),"35.02",""))</f>
        <v/>
      </c>
      <c r="Y16" s="2">
        <f>TEXTJOIN(" | ",TRUE,IF($I16="Oui","Vision: correction (lunettes/lentilles) selon bilan ophtalmo.",""),IF(OR(ISNUMBER(SEARCH("diplop",$J16)),ISNUMBER(SEARCH("occlus",$J16))),"Si diplopie: prisme/occlusion/couvre-œil si indiqué + avis oph.",""),IF(OR(ISNUMBER(SEARCH("main droite",$H16)),ISNUMBER(SEARCH("hémipar",$H16)),ISNUMBER(SEARCH("hemipar",$H16))),"Si déficit MS: privilégier véhicule à boîte automatique + aide au volant/commandes.",""),IF(OR(ISNUMBER(SEARCH("équilibre",$H16)),ISNUMBER(SEARCH("equilibre",$H16)),ISNUMBER(SEARCH("atax",$H16))),"Si instabilité: siège avec soutien latéral / accoudoir.",""),IF(OR(ISNUMBER(SEARCH("hémianops",$J16)),ISNUMBER(SEARCH("hemianops",$J16))),"Si champ visuel limité: dispositifs de vision angle mort (si compatible) + avis spécialisé.",""))</f>
        <v/>
      </c>
    </row>
    <row r="17">
      <c r="T17" s="2">
        <f>IF($E17="&lt; 6 mois","FIN_A",IF($G17="Oui","FIN_A",IF($I17="Oui",IFERROR(IF(OR(ISNUMBER(SEARCH("hémianops",$J17)),ISNUMBER(SEARCH("hemianops",$J17)),ISNUMBER(SEARCH("quadranops",$J17)),ISNUMBER(SEARCH("diplop",$J17)),ISNUMBER(SEARCH("nystag",$J17)),ISNUMBER(SEARCH("saccad",$J17))),"FIN_A","FIN_E"),"FIN_E"),IF($K17="Oui","FIN_C",IF($M17="Oui","FIN_A",IF($N17="Oui","FIN_A",IF($O17="Oui","FIN_A",IF($P17="Oui","FIN_A",IF($Q17="Oui","FIN_D",IF($R17="Non","FIN_E",IF($S17="Oui","FIN_A","FIN_D"))))))))))))</f>
        <v/>
      </c>
      <c r="X17" s="2">
        <f>TEXTJOIN(", ",TRUE,IF($I17="Oui",IF(ISNUMBER(SEARCH("lent",$J17)),"01.02",IF(ISNUMBER(SEARCH("lunett",$J17)),"01.01","01.06")),""),IF(OR(ISNUMBER(SEARCH("diplop",$J17)),ISNUMBER(SEARCH("couvre",$J17)),ISNUMBER(SEARCH("occlus",$J17))),"01.05",""),IF(OR(ISNUMBER(SEARCH("main droite",$H17)),ISNUMBER(SEARCH("faiblesse droite",$H17)),ISNUMBER(SEARCH("hémipar",$H17)),ISNUMBER(SEARCH("hemipar",$H17))),"78",""),IF(OR(ISNUMBER(SEARCH("main",$H17)),ISNUMBER(SEARCH("membre supérieur",$H17)),ISNUMBER(SEARCH("membre superieur",$H17))),"03.01",""),IF(OR(ISNUMBER(SEARCH("équilibre",$H17)),ISNUMBER(SEARCH("equilibre",$H17)),ISNUMBER(SEARCH("atax",$H17))),"43.03",""),IF(OR(ISNUMBER(SEARCH("champ visuel",$J17)),ISNUMBER(SEARCH("hémianops",$J17)),ISNUMBER(SEARCH("hemianops",$J17))),"42.05",""),IF(OR(ISNUMBER(SEARCH("faiblesse",$H17)),ISNUMBER(SEARCH("spastic",$H17))),"40.11",""),IF(OR(ISNUMBER(SEARCH("faiblesse",$H17)),ISNUMBER(SEARCH("spastic",$H17))),"35.02",""))</f>
        <v/>
      </c>
      <c r="Y17" s="2">
        <f>TEXTJOIN(" | ",TRUE,IF($I17="Oui","Vision: correction (lunettes/lentilles) selon bilan ophtalmo.",""),IF(OR(ISNUMBER(SEARCH("diplop",$J17)),ISNUMBER(SEARCH("occlus",$J17))),"Si diplopie: prisme/occlusion/couvre-œil si indiqué + avis oph.",""),IF(OR(ISNUMBER(SEARCH("main droite",$H17)),ISNUMBER(SEARCH("hémipar",$H17)),ISNUMBER(SEARCH("hemipar",$H17))),"Si déficit MS: privilégier véhicule à boîte automatique + aide au volant/commandes.",""),IF(OR(ISNUMBER(SEARCH("équilibre",$H17)),ISNUMBER(SEARCH("equilibre",$H17)),ISNUMBER(SEARCH("atax",$H17))),"Si instabilité: siège avec soutien latéral / accoudoir.",""),IF(OR(ISNUMBER(SEARCH("hémianops",$J17)),ISNUMBER(SEARCH("hemianops",$J17))),"Si champ visuel limité: dispositifs de vision angle mort (si compatible) + avis spécialisé.",""))</f>
        <v/>
      </c>
    </row>
    <row r="18">
      <c r="T18" s="2">
        <f>IF($E18="&lt; 6 mois","FIN_A",IF($G18="Oui","FIN_A",IF($I18="Oui",IFERROR(IF(OR(ISNUMBER(SEARCH("hémianops",$J18)),ISNUMBER(SEARCH("hemianops",$J18)),ISNUMBER(SEARCH("quadranops",$J18)),ISNUMBER(SEARCH("diplop",$J18)),ISNUMBER(SEARCH("nystag",$J18)),ISNUMBER(SEARCH("saccad",$J18))),"FIN_A","FIN_E"),"FIN_E"),IF($K18="Oui","FIN_C",IF($M18="Oui","FIN_A",IF($N18="Oui","FIN_A",IF($O18="Oui","FIN_A",IF($P18="Oui","FIN_A",IF($Q18="Oui","FIN_D",IF($R18="Non","FIN_E",IF($S18="Oui","FIN_A","FIN_D"))))))))))))</f>
        <v/>
      </c>
      <c r="X18" s="2">
        <f>TEXTJOIN(", ",TRUE,IF($I18="Oui",IF(ISNUMBER(SEARCH("lent",$J18)),"01.02",IF(ISNUMBER(SEARCH("lunett",$J18)),"01.01","01.06")),""),IF(OR(ISNUMBER(SEARCH("diplop",$J18)),ISNUMBER(SEARCH("couvre",$J18)),ISNUMBER(SEARCH("occlus",$J18))),"01.05",""),IF(OR(ISNUMBER(SEARCH("main droite",$H18)),ISNUMBER(SEARCH("faiblesse droite",$H18)),ISNUMBER(SEARCH("hémipar",$H18)),ISNUMBER(SEARCH("hemipar",$H18))),"78",""),IF(OR(ISNUMBER(SEARCH("main",$H18)),ISNUMBER(SEARCH("membre supérieur",$H18)),ISNUMBER(SEARCH("membre superieur",$H18))),"03.01",""),IF(OR(ISNUMBER(SEARCH("équilibre",$H18)),ISNUMBER(SEARCH("equilibre",$H18)),ISNUMBER(SEARCH("atax",$H18))),"43.03",""),IF(OR(ISNUMBER(SEARCH("champ visuel",$J18)),ISNUMBER(SEARCH("hémianops",$J18)),ISNUMBER(SEARCH("hemianops",$J18))),"42.05",""),IF(OR(ISNUMBER(SEARCH("faiblesse",$H18)),ISNUMBER(SEARCH("spastic",$H18))),"40.11",""),IF(OR(ISNUMBER(SEARCH("faiblesse",$H18)),ISNUMBER(SEARCH("spastic",$H18))),"35.02",""))</f>
        <v/>
      </c>
      <c r="Y18" s="2">
        <f>TEXTJOIN(" | ",TRUE,IF($I18="Oui","Vision: correction (lunettes/lentilles) selon bilan ophtalmo.",""),IF(OR(ISNUMBER(SEARCH("diplop",$J18)),ISNUMBER(SEARCH("occlus",$J18))),"Si diplopie: prisme/occlusion/couvre-œil si indiqué + avis oph.",""),IF(OR(ISNUMBER(SEARCH("main droite",$H18)),ISNUMBER(SEARCH("hémipar",$H18)),ISNUMBER(SEARCH("hemipar",$H18))),"Si déficit MS: privilégier véhicule à boîte automatique + aide au volant/commandes.",""),IF(OR(ISNUMBER(SEARCH("équilibre",$H18)),ISNUMBER(SEARCH("equilibre",$H18)),ISNUMBER(SEARCH("atax",$H18))),"Si instabilité: siège avec soutien latéral / accoudoir.",""),IF(OR(ISNUMBER(SEARCH("hémianops",$J18)),ISNUMBER(SEARCH("hemianops",$J18))),"Si champ visuel limité: dispositifs de vision angle mort (si compatible) + avis spécialisé.",""))</f>
        <v/>
      </c>
    </row>
    <row r="19">
      <c r="T19" s="2">
        <f>IF($E19="&lt; 6 mois","FIN_A",IF($G19="Oui","FIN_A",IF($I19="Oui",IFERROR(IF(OR(ISNUMBER(SEARCH("hémianops",$J19)),ISNUMBER(SEARCH("hemianops",$J19)),ISNUMBER(SEARCH("quadranops",$J19)),ISNUMBER(SEARCH("diplop",$J19)),ISNUMBER(SEARCH("nystag",$J19)),ISNUMBER(SEARCH("saccad",$J19))),"FIN_A","FIN_E"),"FIN_E"),IF($K19="Oui","FIN_C",IF($M19="Oui","FIN_A",IF($N19="Oui","FIN_A",IF($O19="Oui","FIN_A",IF($P19="Oui","FIN_A",IF($Q19="Oui","FIN_D",IF($R19="Non","FIN_E",IF($S19="Oui","FIN_A","FIN_D"))))))))))))</f>
        <v/>
      </c>
      <c r="X19" s="2">
        <f>TEXTJOIN(", ",TRUE,IF($I19="Oui",IF(ISNUMBER(SEARCH("lent",$J19)),"01.02",IF(ISNUMBER(SEARCH("lunett",$J19)),"01.01","01.06")),""),IF(OR(ISNUMBER(SEARCH("diplop",$J19)),ISNUMBER(SEARCH("couvre",$J19)),ISNUMBER(SEARCH("occlus",$J19))),"01.05",""),IF(OR(ISNUMBER(SEARCH("main droite",$H19)),ISNUMBER(SEARCH("faiblesse droite",$H19)),ISNUMBER(SEARCH("hémipar",$H19)),ISNUMBER(SEARCH("hemipar",$H19))),"78",""),IF(OR(ISNUMBER(SEARCH("main",$H19)),ISNUMBER(SEARCH("membre supérieur",$H19)),ISNUMBER(SEARCH("membre superieur",$H19))),"03.01",""),IF(OR(ISNUMBER(SEARCH("équilibre",$H19)),ISNUMBER(SEARCH("equilibre",$H19)),ISNUMBER(SEARCH("atax",$H19))),"43.03",""),IF(OR(ISNUMBER(SEARCH("champ visuel",$J19)),ISNUMBER(SEARCH("hémianops",$J19)),ISNUMBER(SEARCH("hemianops",$J19))),"42.05",""),IF(OR(ISNUMBER(SEARCH("faiblesse",$H19)),ISNUMBER(SEARCH("spastic",$H19))),"40.11",""),IF(OR(ISNUMBER(SEARCH("faiblesse",$H19)),ISNUMBER(SEARCH("spastic",$H19))),"35.02",""))</f>
        <v/>
      </c>
      <c r="Y19" s="2">
        <f>TEXTJOIN(" | ",TRUE,IF($I19="Oui","Vision: correction (lunettes/lentilles) selon bilan ophtalmo.",""),IF(OR(ISNUMBER(SEARCH("diplop",$J19)),ISNUMBER(SEARCH("occlus",$J19))),"Si diplopie: prisme/occlusion/couvre-œil si indiqué + avis oph.",""),IF(OR(ISNUMBER(SEARCH("main droite",$H19)),ISNUMBER(SEARCH("hémipar",$H19)),ISNUMBER(SEARCH("hemipar",$H19))),"Si déficit MS: privilégier véhicule à boîte automatique + aide au volant/commandes.",""),IF(OR(ISNUMBER(SEARCH("équilibre",$H19)),ISNUMBER(SEARCH("equilibre",$H19)),ISNUMBER(SEARCH("atax",$H19))),"Si instabilité: siège avec soutien latéral / accoudoir.",""),IF(OR(ISNUMBER(SEARCH("hémianops",$J19)),ISNUMBER(SEARCH("hemianops",$J19))),"Si champ visuel limité: dispositifs de vision angle mort (si compatible) + avis spécialisé.",""))</f>
        <v/>
      </c>
    </row>
    <row r="20">
      <c r="T20" s="2">
        <f>IF($E20="&lt; 6 mois","FIN_A",IF($G20="Oui","FIN_A",IF($I20="Oui",IFERROR(IF(OR(ISNUMBER(SEARCH("hémianops",$J20)),ISNUMBER(SEARCH("hemianops",$J20)),ISNUMBER(SEARCH("quadranops",$J20)),ISNUMBER(SEARCH("diplop",$J20)),ISNUMBER(SEARCH("nystag",$J20)),ISNUMBER(SEARCH("saccad",$J20))),"FIN_A","FIN_E"),"FIN_E"),IF($K20="Oui","FIN_C",IF($M20="Oui","FIN_A",IF($N20="Oui","FIN_A",IF($O20="Oui","FIN_A",IF($P20="Oui","FIN_A",IF($Q20="Oui","FIN_D",IF($R20="Non","FIN_E",IF($S20="Oui","FIN_A","FIN_D"))))))))))))</f>
        <v/>
      </c>
      <c r="X20" s="2">
        <f>TEXTJOIN(", ",TRUE,IF($I20="Oui",IF(ISNUMBER(SEARCH("lent",$J20)),"01.02",IF(ISNUMBER(SEARCH("lunett",$J20)),"01.01","01.06")),""),IF(OR(ISNUMBER(SEARCH("diplop",$J20)),ISNUMBER(SEARCH("couvre",$J20)),ISNUMBER(SEARCH("occlus",$J20))),"01.05",""),IF(OR(ISNUMBER(SEARCH("main droite",$H20)),ISNUMBER(SEARCH("faiblesse droite",$H20)),ISNUMBER(SEARCH("hémipar",$H20)),ISNUMBER(SEARCH("hemipar",$H20))),"78",""),IF(OR(ISNUMBER(SEARCH("main",$H20)),ISNUMBER(SEARCH("membre supérieur",$H20)),ISNUMBER(SEARCH("membre superieur",$H20))),"03.01",""),IF(OR(ISNUMBER(SEARCH("équilibre",$H20)),ISNUMBER(SEARCH("equilibre",$H20)),ISNUMBER(SEARCH("atax",$H20))),"43.03",""),IF(OR(ISNUMBER(SEARCH("champ visuel",$J20)),ISNUMBER(SEARCH("hémianops",$J20)),ISNUMBER(SEARCH("hemianops",$J20))),"42.05",""),IF(OR(ISNUMBER(SEARCH("faiblesse",$H20)),ISNUMBER(SEARCH("spastic",$H20))),"40.11",""),IF(OR(ISNUMBER(SEARCH("faiblesse",$H20)),ISNUMBER(SEARCH("spastic",$H20))),"35.02",""))</f>
        <v/>
      </c>
      <c r="Y20" s="2">
        <f>TEXTJOIN(" | ",TRUE,IF($I20="Oui","Vision: correction (lunettes/lentilles) selon bilan ophtalmo.",""),IF(OR(ISNUMBER(SEARCH("diplop",$J20)),ISNUMBER(SEARCH("occlus",$J20))),"Si diplopie: prisme/occlusion/couvre-œil si indiqué + avis oph.",""),IF(OR(ISNUMBER(SEARCH("main droite",$H20)),ISNUMBER(SEARCH("hémipar",$H20)),ISNUMBER(SEARCH("hemipar",$H20))),"Si déficit MS: privilégier véhicule à boîte automatique + aide au volant/commandes.",""),IF(OR(ISNUMBER(SEARCH("équilibre",$H20)),ISNUMBER(SEARCH("equilibre",$H20)),ISNUMBER(SEARCH("atax",$H20))),"Si instabilité: siège avec soutien latéral / accoudoir.",""),IF(OR(ISNUMBER(SEARCH("hémianops",$J20)),ISNUMBER(SEARCH("hemianops",$J20))),"Si champ visuel limité: dispositifs de vision angle mort (si compatible) + avis spécialisé.",""))</f>
        <v/>
      </c>
    </row>
    <row r="21">
      <c r="T21" s="2">
        <f>IF($E21="&lt; 6 mois","FIN_A",IF($G21="Oui","FIN_A",IF($I21="Oui",IFERROR(IF(OR(ISNUMBER(SEARCH("hémianops",$J21)),ISNUMBER(SEARCH("hemianops",$J21)),ISNUMBER(SEARCH("quadranops",$J21)),ISNUMBER(SEARCH("diplop",$J21)),ISNUMBER(SEARCH("nystag",$J21)),ISNUMBER(SEARCH("saccad",$J21))),"FIN_A","FIN_E"),"FIN_E"),IF($K21="Oui","FIN_C",IF($M21="Oui","FIN_A",IF($N21="Oui","FIN_A",IF($O21="Oui","FIN_A",IF($P21="Oui","FIN_A",IF($Q21="Oui","FIN_D",IF($R21="Non","FIN_E",IF($S21="Oui","FIN_A","FIN_D"))))))))))))</f>
        <v/>
      </c>
      <c r="X21" s="2">
        <f>TEXTJOIN(", ",TRUE,IF($I21="Oui",IF(ISNUMBER(SEARCH("lent",$J21)),"01.02",IF(ISNUMBER(SEARCH("lunett",$J21)),"01.01","01.06")),""),IF(OR(ISNUMBER(SEARCH("diplop",$J21)),ISNUMBER(SEARCH("couvre",$J21)),ISNUMBER(SEARCH("occlus",$J21))),"01.05",""),IF(OR(ISNUMBER(SEARCH("main droite",$H21)),ISNUMBER(SEARCH("faiblesse droite",$H21)),ISNUMBER(SEARCH("hémipar",$H21)),ISNUMBER(SEARCH("hemipar",$H21))),"78",""),IF(OR(ISNUMBER(SEARCH("main",$H21)),ISNUMBER(SEARCH("membre supérieur",$H21)),ISNUMBER(SEARCH("membre superieur",$H21))),"03.01",""),IF(OR(ISNUMBER(SEARCH("équilibre",$H21)),ISNUMBER(SEARCH("equilibre",$H21)),ISNUMBER(SEARCH("atax",$H21))),"43.03",""),IF(OR(ISNUMBER(SEARCH("champ visuel",$J21)),ISNUMBER(SEARCH("hémianops",$J21)),ISNUMBER(SEARCH("hemianops",$J21))),"42.05",""),IF(OR(ISNUMBER(SEARCH("faiblesse",$H21)),ISNUMBER(SEARCH("spastic",$H21))),"40.11",""),IF(OR(ISNUMBER(SEARCH("faiblesse",$H21)),ISNUMBER(SEARCH("spastic",$H21))),"35.02",""))</f>
        <v/>
      </c>
      <c r="Y21" s="2">
        <f>TEXTJOIN(" | ",TRUE,IF($I21="Oui","Vision: correction (lunettes/lentilles) selon bilan ophtalmo.",""),IF(OR(ISNUMBER(SEARCH("diplop",$J21)),ISNUMBER(SEARCH("occlus",$J21))),"Si diplopie: prisme/occlusion/couvre-œil si indiqué + avis oph.",""),IF(OR(ISNUMBER(SEARCH("main droite",$H21)),ISNUMBER(SEARCH("hémipar",$H21)),ISNUMBER(SEARCH("hemipar",$H21))),"Si déficit MS: privilégier véhicule à boîte automatique + aide au volant/commandes.",""),IF(OR(ISNUMBER(SEARCH("équilibre",$H21)),ISNUMBER(SEARCH("equilibre",$H21)),ISNUMBER(SEARCH("atax",$H21))),"Si instabilité: siège avec soutien latéral / accoudoir.",""),IF(OR(ISNUMBER(SEARCH("hémianops",$J21)),ISNUMBER(SEARCH("hemianops",$J21))),"Si champ visuel limité: dispositifs de vision angle mort (si compatible) + avis spécialisé.",""))</f>
        <v/>
      </c>
    </row>
    <row r="22">
      <c r="T22" s="2">
        <f>IF($E22="&lt; 6 mois","FIN_A",IF($G22="Oui","FIN_A",IF($I22="Oui",IFERROR(IF(OR(ISNUMBER(SEARCH("hémianops",$J22)),ISNUMBER(SEARCH("hemianops",$J22)),ISNUMBER(SEARCH("quadranops",$J22)),ISNUMBER(SEARCH("diplop",$J22)),ISNUMBER(SEARCH("nystag",$J22)),ISNUMBER(SEARCH("saccad",$J22))),"FIN_A","FIN_E"),"FIN_E"),IF($K22="Oui","FIN_C",IF($M22="Oui","FIN_A",IF($N22="Oui","FIN_A",IF($O22="Oui","FIN_A",IF($P22="Oui","FIN_A",IF($Q22="Oui","FIN_D",IF($R22="Non","FIN_E",IF($S22="Oui","FIN_A","FIN_D"))))))))))))</f>
        <v/>
      </c>
      <c r="X22" s="2">
        <f>TEXTJOIN(", ",TRUE,IF($I22="Oui",IF(ISNUMBER(SEARCH("lent",$J22)),"01.02",IF(ISNUMBER(SEARCH("lunett",$J22)),"01.01","01.06")),""),IF(OR(ISNUMBER(SEARCH("diplop",$J22)),ISNUMBER(SEARCH("couvre",$J22)),ISNUMBER(SEARCH("occlus",$J22))),"01.05",""),IF(OR(ISNUMBER(SEARCH("main droite",$H22)),ISNUMBER(SEARCH("faiblesse droite",$H22)),ISNUMBER(SEARCH("hémipar",$H22)),ISNUMBER(SEARCH("hemipar",$H22))),"78",""),IF(OR(ISNUMBER(SEARCH("main",$H22)),ISNUMBER(SEARCH("membre supérieur",$H22)),ISNUMBER(SEARCH("membre superieur",$H22))),"03.01",""),IF(OR(ISNUMBER(SEARCH("équilibre",$H22)),ISNUMBER(SEARCH("equilibre",$H22)),ISNUMBER(SEARCH("atax",$H22))),"43.03",""),IF(OR(ISNUMBER(SEARCH("champ visuel",$J22)),ISNUMBER(SEARCH("hémianops",$J22)),ISNUMBER(SEARCH("hemianops",$J22))),"42.05",""),IF(OR(ISNUMBER(SEARCH("faiblesse",$H22)),ISNUMBER(SEARCH("spastic",$H22))),"40.11",""),IF(OR(ISNUMBER(SEARCH("faiblesse",$H22)),ISNUMBER(SEARCH("spastic",$H22))),"35.02",""))</f>
        <v/>
      </c>
      <c r="Y22" s="2">
        <f>TEXTJOIN(" | ",TRUE,IF($I22="Oui","Vision: correction (lunettes/lentilles) selon bilan ophtalmo.",""),IF(OR(ISNUMBER(SEARCH("diplop",$J22)),ISNUMBER(SEARCH("occlus",$J22))),"Si diplopie: prisme/occlusion/couvre-œil si indiqué + avis oph.",""),IF(OR(ISNUMBER(SEARCH("main droite",$H22)),ISNUMBER(SEARCH("hémipar",$H22)),ISNUMBER(SEARCH("hemipar",$H22))),"Si déficit MS: privilégier véhicule à boîte automatique + aide au volant/commandes.",""),IF(OR(ISNUMBER(SEARCH("équilibre",$H22)),ISNUMBER(SEARCH("equilibre",$H22)),ISNUMBER(SEARCH("atax",$H22))),"Si instabilité: siège avec soutien latéral / accoudoir.",""),IF(OR(ISNUMBER(SEARCH("hémianops",$J22)),ISNUMBER(SEARCH("hemianops",$J22))),"Si champ visuel limité: dispositifs de vision angle mort (si compatible) + avis spécialisé.",""))</f>
        <v/>
      </c>
    </row>
    <row r="23">
      <c r="T23" s="2">
        <f>IF($E23="&lt; 6 mois","FIN_A",IF($G23="Oui","FIN_A",IF($I23="Oui",IFERROR(IF(OR(ISNUMBER(SEARCH("hémianops",$J23)),ISNUMBER(SEARCH("hemianops",$J23)),ISNUMBER(SEARCH("quadranops",$J23)),ISNUMBER(SEARCH("diplop",$J23)),ISNUMBER(SEARCH("nystag",$J23)),ISNUMBER(SEARCH("saccad",$J23))),"FIN_A","FIN_E"),"FIN_E"),IF($K23="Oui","FIN_C",IF($M23="Oui","FIN_A",IF($N23="Oui","FIN_A",IF($O23="Oui","FIN_A",IF($P23="Oui","FIN_A",IF($Q23="Oui","FIN_D",IF($R23="Non","FIN_E",IF($S23="Oui","FIN_A","FIN_D"))))))))))))</f>
        <v/>
      </c>
      <c r="X23" s="2">
        <f>TEXTJOIN(", ",TRUE,IF($I23="Oui",IF(ISNUMBER(SEARCH("lent",$J23)),"01.02",IF(ISNUMBER(SEARCH("lunett",$J23)),"01.01","01.06")),""),IF(OR(ISNUMBER(SEARCH("diplop",$J23)),ISNUMBER(SEARCH("couvre",$J23)),ISNUMBER(SEARCH("occlus",$J23))),"01.05",""),IF(OR(ISNUMBER(SEARCH("main droite",$H23)),ISNUMBER(SEARCH("faiblesse droite",$H23)),ISNUMBER(SEARCH("hémipar",$H23)),ISNUMBER(SEARCH("hemipar",$H23))),"78",""),IF(OR(ISNUMBER(SEARCH("main",$H23)),ISNUMBER(SEARCH("membre supérieur",$H23)),ISNUMBER(SEARCH("membre superieur",$H23))),"03.01",""),IF(OR(ISNUMBER(SEARCH("équilibre",$H23)),ISNUMBER(SEARCH("equilibre",$H23)),ISNUMBER(SEARCH("atax",$H23))),"43.03",""),IF(OR(ISNUMBER(SEARCH("champ visuel",$J23)),ISNUMBER(SEARCH("hémianops",$J23)),ISNUMBER(SEARCH("hemianops",$J23))),"42.05",""),IF(OR(ISNUMBER(SEARCH("faiblesse",$H23)),ISNUMBER(SEARCH("spastic",$H23))),"40.11",""),IF(OR(ISNUMBER(SEARCH("faiblesse",$H23)),ISNUMBER(SEARCH("spastic",$H23))),"35.02",""))</f>
        <v/>
      </c>
      <c r="Y23" s="2">
        <f>TEXTJOIN(" | ",TRUE,IF($I23="Oui","Vision: correction (lunettes/lentilles) selon bilan ophtalmo.",""),IF(OR(ISNUMBER(SEARCH("diplop",$J23)),ISNUMBER(SEARCH("occlus",$J23))),"Si diplopie: prisme/occlusion/couvre-œil si indiqué + avis oph.",""),IF(OR(ISNUMBER(SEARCH("main droite",$H23)),ISNUMBER(SEARCH("hémipar",$H23)),ISNUMBER(SEARCH("hemipar",$H23))),"Si déficit MS: privilégier véhicule à boîte automatique + aide au volant/commandes.",""),IF(OR(ISNUMBER(SEARCH("équilibre",$H23)),ISNUMBER(SEARCH("equilibre",$H23)),ISNUMBER(SEARCH("atax",$H23))),"Si instabilité: siège avec soutien latéral / accoudoir.",""),IF(OR(ISNUMBER(SEARCH("hémianops",$J23)),ISNUMBER(SEARCH("hemianops",$J23))),"Si champ visuel limité: dispositifs de vision angle mort (si compatible) + avis spécialisé.",""))</f>
        <v/>
      </c>
    </row>
    <row r="24">
      <c r="T24" s="2">
        <f>IF($E24="&lt; 6 mois","FIN_A",IF($G24="Oui","FIN_A",IF($I24="Oui",IFERROR(IF(OR(ISNUMBER(SEARCH("hémianops",$J24)),ISNUMBER(SEARCH("hemianops",$J24)),ISNUMBER(SEARCH("quadranops",$J24)),ISNUMBER(SEARCH("diplop",$J24)),ISNUMBER(SEARCH("nystag",$J24)),ISNUMBER(SEARCH("saccad",$J24))),"FIN_A","FIN_E"),"FIN_E"),IF($K24="Oui","FIN_C",IF($M24="Oui","FIN_A",IF($N24="Oui","FIN_A",IF($O24="Oui","FIN_A",IF($P24="Oui","FIN_A",IF($Q24="Oui","FIN_D",IF($R24="Non","FIN_E",IF($S24="Oui","FIN_A","FIN_D"))))))))))))</f>
        <v/>
      </c>
      <c r="X24" s="2">
        <f>TEXTJOIN(", ",TRUE,IF($I24="Oui",IF(ISNUMBER(SEARCH("lent",$J24)),"01.02",IF(ISNUMBER(SEARCH("lunett",$J24)),"01.01","01.06")),""),IF(OR(ISNUMBER(SEARCH("diplop",$J24)),ISNUMBER(SEARCH("couvre",$J24)),ISNUMBER(SEARCH("occlus",$J24))),"01.05",""),IF(OR(ISNUMBER(SEARCH("main droite",$H24)),ISNUMBER(SEARCH("faiblesse droite",$H24)),ISNUMBER(SEARCH("hémipar",$H24)),ISNUMBER(SEARCH("hemipar",$H24))),"78",""),IF(OR(ISNUMBER(SEARCH("main",$H24)),ISNUMBER(SEARCH("membre supérieur",$H24)),ISNUMBER(SEARCH("membre superieur",$H24))),"03.01",""),IF(OR(ISNUMBER(SEARCH("équilibre",$H24)),ISNUMBER(SEARCH("equilibre",$H24)),ISNUMBER(SEARCH("atax",$H24))),"43.03",""),IF(OR(ISNUMBER(SEARCH("champ visuel",$J24)),ISNUMBER(SEARCH("hémianops",$J24)),ISNUMBER(SEARCH("hemianops",$J24))),"42.05",""),IF(OR(ISNUMBER(SEARCH("faiblesse",$H24)),ISNUMBER(SEARCH("spastic",$H24))),"40.11",""),IF(OR(ISNUMBER(SEARCH("faiblesse",$H24)),ISNUMBER(SEARCH("spastic",$H24))),"35.02",""))</f>
        <v/>
      </c>
      <c r="Y24" s="2">
        <f>TEXTJOIN(" | ",TRUE,IF($I24="Oui","Vision: correction (lunettes/lentilles) selon bilan ophtalmo.",""),IF(OR(ISNUMBER(SEARCH("diplop",$J24)),ISNUMBER(SEARCH("occlus",$J24))),"Si diplopie: prisme/occlusion/couvre-œil si indiqué + avis oph.",""),IF(OR(ISNUMBER(SEARCH("main droite",$H24)),ISNUMBER(SEARCH("hémipar",$H24)),ISNUMBER(SEARCH("hemipar",$H24))),"Si déficit MS: privilégier véhicule à boîte automatique + aide au volant/commandes.",""),IF(OR(ISNUMBER(SEARCH("équilibre",$H24)),ISNUMBER(SEARCH("equilibre",$H24)),ISNUMBER(SEARCH("atax",$H24))),"Si instabilité: siège avec soutien latéral / accoudoir.",""),IF(OR(ISNUMBER(SEARCH("hémianops",$J24)),ISNUMBER(SEARCH("hemianops",$J24))),"Si champ visuel limité: dispositifs de vision angle mort (si compatible) + avis spécialisé.",""))</f>
        <v/>
      </c>
    </row>
    <row r="25">
      <c r="T25" s="2">
        <f>IF($E25="&lt; 6 mois","FIN_A",IF($G25="Oui","FIN_A",IF($I25="Oui",IFERROR(IF(OR(ISNUMBER(SEARCH("hémianops",$J25)),ISNUMBER(SEARCH("hemianops",$J25)),ISNUMBER(SEARCH("quadranops",$J25)),ISNUMBER(SEARCH("diplop",$J25)),ISNUMBER(SEARCH("nystag",$J25)),ISNUMBER(SEARCH("saccad",$J25))),"FIN_A","FIN_E"),"FIN_E"),IF($K25="Oui","FIN_C",IF($M25="Oui","FIN_A",IF($N25="Oui","FIN_A",IF($O25="Oui","FIN_A",IF($P25="Oui","FIN_A",IF($Q25="Oui","FIN_D",IF($R25="Non","FIN_E",IF($S25="Oui","FIN_A","FIN_D"))))))))))))</f>
        <v/>
      </c>
      <c r="X25" s="2">
        <f>TEXTJOIN(", ",TRUE,IF($I25="Oui",IF(ISNUMBER(SEARCH("lent",$J25)),"01.02",IF(ISNUMBER(SEARCH("lunett",$J25)),"01.01","01.06")),""),IF(OR(ISNUMBER(SEARCH("diplop",$J25)),ISNUMBER(SEARCH("couvre",$J25)),ISNUMBER(SEARCH("occlus",$J25))),"01.05",""),IF(OR(ISNUMBER(SEARCH("main droite",$H25)),ISNUMBER(SEARCH("faiblesse droite",$H25)),ISNUMBER(SEARCH("hémipar",$H25)),ISNUMBER(SEARCH("hemipar",$H25))),"78",""),IF(OR(ISNUMBER(SEARCH("main",$H25)),ISNUMBER(SEARCH("membre supérieur",$H25)),ISNUMBER(SEARCH("membre superieur",$H25))),"03.01",""),IF(OR(ISNUMBER(SEARCH("équilibre",$H25)),ISNUMBER(SEARCH("equilibre",$H25)),ISNUMBER(SEARCH("atax",$H25))),"43.03",""),IF(OR(ISNUMBER(SEARCH("champ visuel",$J25)),ISNUMBER(SEARCH("hémianops",$J25)),ISNUMBER(SEARCH("hemianops",$J25))),"42.05",""),IF(OR(ISNUMBER(SEARCH("faiblesse",$H25)),ISNUMBER(SEARCH("spastic",$H25))),"40.11",""),IF(OR(ISNUMBER(SEARCH("faiblesse",$H25)),ISNUMBER(SEARCH("spastic",$H25))),"35.02",""))</f>
        <v/>
      </c>
      <c r="Y25" s="2">
        <f>TEXTJOIN(" | ",TRUE,IF($I25="Oui","Vision: correction (lunettes/lentilles) selon bilan ophtalmo.",""),IF(OR(ISNUMBER(SEARCH("diplop",$J25)),ISNUMBER(SEARCH("occlus",$J25))),"Si diplopie: prisme/occlusion/couvre-œil si indiqué + avis oph.",""),IF(OR(ISNUMBER(SEARCH("main droite",$H25)),ISNUMBER(SEARCH("hémipar",$H25)),ISNUMBER(SEARCH("hemipar",$H25))),"Si déficit MS: privilégier véhicule à boîte automatique + aide au volant/commandes.",""),IF(OR(ISNUMBER(SEARCH("équilibre",$H25)),ISNUMBER(SEARCH("equilibre",$H25)),ISNUMBER(SEARCH("atax",$H25))),"Si instabilité: siège avec soutien latéral / accoudoir.",""),IF(OR(ISNUMBER(SEARCH("hémianops",$J25)),ISNUMBER(SEARCH("hemianops",$J25))),"Si champ visuel limité: dispositifs de vision angle mort (si compatible) + avis spécialisé.",""))</f>
        <v/>
      </c>
    </row>
    <row r="26">
      <c r="T26" s="2">
        <f>IF($E26="&lt; 6 mois","FIN_A",IF($G26="Oui","FIN_A",IF($I26="Oui",IFERROR(IF(OR(ISNUMBER(SEARCH("hémianops",$J26)),ISNUMBER(SEARCH("hemianops",$J26)),ISNUMBER(SEARCH("quadranops",$J26)),ISNUMBER(SEARCH("diplop",$J26)),ISNUMBER(SEARCH("nystag",$J26)),ISNUMBER(SEARCH("saccad",$J26))),"FIN_A","FIN_E"),"FIN_E"),IF($K26="Oui","FIN_C",IF($M26="Oui","FIN_A",IF($N26="Oui","FIN_A",IF($O26="Oui","FIN_A",IF($P26="Oui","FIN_A",IF($Q26="Oui","FIN_D",IF($R26="Non","FIN_E",IF($S26="Oui","FIN_A","FIN_D"))))))))))))</f>
        <v/>
      </c>
      <c r="X26" s="2">
        <f>TEXTJOIN(", ",TRUE,IF($I26="Oui",IF(ISNUMBER(SEARCH("lent",$J26)),"01.02",IF(ISNUMBER(SEARCH("lunett",$J26)),"01.01","01.06")),""),IF(OR(ISNUMBER(SEARCH("diplop",$J26)),ISNUMBER(SEARCH("couvre",$J26)),ISNUMBER(SEARCH("occlus",$J26))),"01.05",""),IF(OR(ISNUMBER(SEARCH("main droite",$H26)),ISNUMBER(SEARCH("faiblesse droite",$H26)),ISNUMBER(SEARCH("hémipar",$H26)),ISNUMBER(SEARCH("hemipar",$H26))),"78",""),IF(OR(ISNUMBER(SEARCH("main",$H26)),ISNUMBER(SEARCH("membre supérieur",$H26)),ISNUMBER(SEARCH("membre superieur",$H26))),"03.01",""),IF(OR(ISNUMBER(SEARCH("équilibre",$H26)),ISNUMBER(SEARCH("equilibre",$H26)),ISNUMBER(SEARCH("atax",$H26))),"43.03",""),IF(OR(ISNUMBER(SEARCH("champ visuel",$J26)),ISNUMBER(SEARCH("hémianops",$J26)),ISNUMBER(SEARCH("hemianops",$J26))),"42.05",""),IF(OR(ISNUMBER(SEARCH("faiblesse",$H26)),ISNUMBER(SEARCH("spastic",$H26))),"40.11",""),IF(OR(ISNUMBER(SEARCH("faiblesse",$H26)),ISNUMBER(SEARCH("spastic",$H26))),"35.02",""))</f>
        <v/>
      </c>
      <c r="Y26" s="2">
        <f>TEXTJOIN(" | ",TRUE,IF($I26="Oui","Vision: correction (lunettes/lentilles) selon bilan ophtalmo.",""),IF(OR(ISNUMBER(SEARCH("diplop",$J26)),ISNUMBER(SEARCH("occlus",$J26))),"Si diplopie: prisme/occlusion/couvre-œil si indiqué + avis oph.",""),IF(OR(ISNUMBER(SEARCH("main droite",$H26)),ISNUMBER(SEARCH("hémipar",$H26)),ISNUMBER(SEARCH("hemipar",$H26))),"Si déficit MS: privilégier véhicule à boîte automatique + aide au volant/commandes.",""),IF(OR(ISNUMBER(SEARCH("équilibre",$H26)),ISNUMBER(SEARCH("equilibre",$H26)),ISNUMBER(SEARCH("atax",$H26))),"Si instabilité: siège avec soutien latéral / accoudoir.",""),IF(OR(ISNUMBER(SEARCH("hémianops",$J26)),ISNUMBER(SEARCH("hemianops",$J26))),"Si champ visuel limité: dispositifs de vision angle mort (si compatible) + avis spécialisé.",""))</f>
        <v/>
      </c>
    </row>
    <row r="27">
      <c r="T27" s="2">
        <f>IF($E27="&lt; 6 mois","FIN_A",IF($G27="Oui","FIN_A",IF($I27="Oui",IFERROR(IF(OR(ISNUMBER(SEARCH("hémianops",$J27)),ISNUMBER(SEARCH("hemianops",$J27)),ISNUMBER(SEARCH("quadranops",$J27)),ISNUMBER(SEARCH("diplop",$J27)),ISNUMBER(SEARCH("nystag",$J27)),ISNUMBER(SEARCH("saccad",$J27))),"FIN_A","FIN_E"),"FIN_E"),IF($K27="Oui","FIN_C",IF($M27="Oui","FIN_A",IF($N27="Oui","FIN_A",IF($O27="Oui","FIN_A",IF($P27="Oui","FIN_A",IF($Q27="Oui","FIN_D",IF($R27="Non","FIN_E",IF($S27="Oui","FIN_A","FIN_D"))))))))))))</f>
        <v/>
      </c>
      <c r="X27" s="2">
        <f>TEXTJOIN(", ",TRUE,IF($I27="Oui",IF(ISNUMBER(SEARCH("lent",$J27)),"01.02",IF(ISNUMBER(SEARCH("lunett",$J27)),"01.01","01.06")),""),IF(OR(ISNUMBER(SEARCH("diplop",$J27)),ISNUMBER(SEARCH("couvre",$J27)),ISNUMBER(SEARCH("occlus",$J27))),"01.05",""),IF(OR(ISNUMBER(SEARCH("main droite",$H27)),ISNUMBER(SEARCH("faiblesse droite",$H27)),ISNUMBER(SEARCH("hémipar",$H27)),ISNUMBER(SEARCH("hemipar",$H27))),"78",""),IF(OR(ISNUMBER(SEARCH("main",$H27)),ISNUMBER(SEARCH("membre supérieur",$H27)),ISNUMBER(SEARCH("membre superieur",$H27))),"03.01",""),IF(OR(ISNUMBER(SEARCH("équilibre",$H27)),ISNUMBER(SEARCH("equilibre",$H27)),ISNUMBER(SEARCH("atax",$H27))),"43.03",""),IF(OR(ISNUMBER(SEARCH("champ visuel",$J27)),ISNUMBER(SEARCH("hémianops",$J27)),ISNUMBER(SEARCH("hemianops",$J27))),"42.05",""),IF(OR(ISNUMBER(SEARCH("faiblesse",$H27)),ISNUMBER(SEARCH("spastic",$H27))),"40.11",""),IF(OR(ISNUMBER(SEARCH("faiblesse",$H27)),ISNUMBER(SEARCH("spastic",$H27))),"35.02",""))</f>
        <v/>
      </c>
      <c r="Y27" s="2">
        <f>TEXTJOIN(" | ",TRUE,IF($I27="Oui","Vision: correction (lunettes/lentilles) selon bilan ophtalmo.",""),IF(OR(ISNUMBER(SEARCH("diplop",$J27)),ISNUMBER(SEARCH("occlus",$J27))),"Si diplopie: prisme/occlusion/couvre-œil si indiqué + avis oph.",""),IF(OR(ISNUMBER(SEARCH("main droite",$H27)),ISNUMBER(SEARCH("hémipar",$H27)),ISNUMBER(SEARCH("hemipar",$H27))),"Si déficit MS: privilégier véhicule à boîte automatique + aide au volant/commandes.",""),IF(OR(ISNUMBER(SEARCH("équilibre",$H27)),ISNUMBER(SEARCH("equilibre",$H27)),ISNUMBER(SEARCH("atax",$H27))),"Si instabilité: siège avec soutien latéral / accoudoir.",""),IF(OR(ISNUMBER(SEARCH("hémianops",$J27)),ISNUMBER(SEARCH("hemianops",$J27))),"Si champ visuel limité: dispositifs de vision angle mort (si compatible) + avis spécialisé.",""))</f>
        <v/>
      </c>
    </row>
    <row r="28">
      <c r="T28" s="2">
        <f>IF($E28="&lt; 6 mois","FIN_A",IF($G28="Oui","FIN_A",IF($I28="Oui",IFERROR(IF(OR(ISNUMBER(SEARCH("hémianops",$J28)),ISNUMBER(SEARCH("hemianops",$J28)),ISNUMBER(SEARCH("quadranops",$J28)),ISNUMBER(SEARCH("diplop",$J28)),ISNUMBER(SEARCH("nystag",$J28)),ISNUMBER(SEARCH("saccad",$J28))),"FIN_A","FIN_E"),"FIN_E"),IF($K28="Oui","FIN_C",IF($M28="Oui","FIN_A",IF($N28="Oui","FIN_A",IF($O28="Oui","FIN_A",IF($P28="Oui","FIN_A",IF($Q28="Oui","FIN_D",IF($R28="Non","FIN_E",IF($S28="Oui","FIN_A","FIN_D"))))))))))))</f>
        <v/>
      </c>
      <c r="X28" s="2">
        <f>TEXTJOIN(", ",TRUE,IF($I28="Oui",IF(ISNUMBER(SEARCH("lent",$J28)),"01.02",IF(ISNUMBER(SEARCH("lunett",$J28)),"01.01","01.06")),""),IF(OR(ISNUMBER(SEARCH("diplop",$J28)),ISNUMBER(SEARCH("couvre",$J28)),ISNUMBER(SEARCH("occlus",$J28))),"01.05",""),IF(OR(ISNUMBER(SEARCH("main droite",$H28)),ISNUMBER(SEARCH("faiblesse droite",$H28)),ISNUMBER(SEARCH("hémipar",$H28)),ISNUMBER(SEARCH("hemipar",$H28))),"78",""),IF(OR(ISNUMBER(SEARCH("main",$H28)),ISNUMBER(SEARCH("membre supérieur",$H28)),ISNUMBER(SEARCH("membre superieur",$H28))),"03.01",""),IF(OR(ISNUMBER(SEARCH("équilibre",$H28)),ISNUMBER(SEARCH("equilibre",$H28)),ISNUMBER(SEARCH("atax",$H28))),"43.03",""),IF(OR(ISNUMBER(SEARCH("champ visuel",$J28)),ISNUMBER(SEARCH("hémianops",$J28)),ISNUMBER(SEARCH("hemianops",$J28))),"42.05",""),IF(OR(ISNUMBER(SEARCH("faiblesse",$H28)),ISNUMBER(SEARCH("spastic",$H28))),"40.11",""),IF(OR(ISNUMBER(SEARCH("faiblesse",$H28)),ISNUMBER(SEARCH("spastic",$H28))),"35.02",""))</f>
        <v/>
      </c>
      <c r="Y28" s="2">
        <f>TEXTJOIN(" | ",TRUE,IF($I28="Oui","Vision: correction (lunettes/lentilles) selon bilan ophtalmo.",""),IF(OR(ISNUMBER(SEARCH("diplop",$J28)),ISNUMBER(SEARCH("occlus",$J28))),"Si diplopie: prisme/occlusion/couvre-œil si indiqué + avis oph.",""),IF(OR(ISNUMBER(SEARCH("main droite",$H28)),ISNUMBER(SEARCH("hémipar",$H28)),ISNUMBER(SEARCH("hemipar",$H28))),"Si déficit MS: privilégier véhicule à boîte automatique + aide au volant/commandes.",""),IF(OR(ISNUMBER(SEARCH("équilibre",$H28)),ISNUMBER(SEARCH("equilibre",$H28)),ISNUMBER(SEARCH("atax",$H28))),"Si instabilité: siège avec soutien latéral / accoudoir.",""),IF(OR(ISNUMBER(SEARCH("hémianops",$J28)),ISNUMBER(SEARCH("hemianops",$J28))),"Si champ visuel limité: dispositifs de vision angle mort (si compatible) + avis spécialisé.",""))</f>
        <v/>
      </c>
    </row>
    <row r="29">
      <c r="T29" s="2">
        <f>IF($E29="&lt; 6 mois","FIN_A",IF($G29="Oui","FIN_A",IF($I29="Oui",IFERROR(IF(OR(ISNUMBER(SEARCH("hémianops",$J29)),ISNUMBER(SEARCH("hemianops",$J29)),ISNUMBER(SEARCH("quadranops",$J29)),ISNUMBER(SEARCH("diplop",$J29)),ISNUMBER(SEARCH("nystag",$J29)),ISNUMBER(SEARCH("saccad",$J29))),"FIN_A","FIN_E"),"FIN_E"),IF($K29="Oui","FIN_C",IF($M29="Oui","FIN_A",IF($N29="Oui","FIN_A",IF($O29="Oui","FIN_A",IF($P29="Oui","FIN_A",IF($Q29="Oui","FIN_D",IF($R29="Non","FIN_E",IF($S29="Oui","FIN_A","FIN_D"))))))))))))</f>
        <v/>
      </c>
      <c r="X29" s="2">
        <f>TEXTJOIN(", ",TRUE,IF($I29="Oui",IF(ISNUMBER(SEARCH("lent",$J29)),"01.02",IF(ISNUMBER(SEARCH("lunett",$J29)),"01.01","01.06")),""),IF(OR(ISNUMBER(SEARCH("diplop",$J29)),ISNUMBER(SEARCH("couvre",$J29)),ISNUMBER(SEARCH("occlus",$J29))),"01.05",""),IF(OR(ISNUMBER(SEARCH("main droite",$H29)),ISNUMBER(SEARCH("faiblesse droite",$H29)),ISNUMBER(SEARCH("hémipar",$H29)),ISNUMBER(SEARCH("hemipar",$H29))),"78",""),IF(OR(ISNUMBER(SEARCH("main",$H29)),ISNUMBER(SEARCH("membre supérieur",$H29)),ISNUMBER(SEARCH("membre superieur",$H29))),"03.01",""),IF(OR(ISNUMBER(SEARCH("équilibre",$H29)),ISNUMBER(SEARCH("equilibre",$H29)),ISNUMBER(SEARCH("atax",$H29))),"43.03",""),IF(OR(ISNUMBER(SEARCH("champ visuel",$J29)),ISNUMBER(SEARCH("hémianops",$J29)),ISNUMBER(SEARCH("hemianops",$J29))),"42.05",""),IF(OR(ISNUMBER(SEARCH("faiblesse",$H29)),ISNUMBER(SEARCH("spastic",$H29))),"40.11",""),IF(OR(ISNUMBER(SEARCH("faiblesse",$H29)),ISNUMBER(SEARCH("spastic",$H29))),"35.02",""))</f>
        <v/>
      </c>
      <c r="Y29" s="2">
        <f>TEXTJOIN(" | ",TRUE,IF($I29="Oui","Vision: correction (lunettes/lentilles) selon bilan ophtalmo.",""),IF(OR(ISNUMBER(SEARCH("diplop",$J29)),ISNUMBER(SEARCH("occlus",$J29))),"Si diplopie: prisme/occlusion/couvre-œil si indiqué + avis oph.",""),IF(OR(ISNUMBER(SEARCH("main droite",$H29)),ISNUMBER(SEARCH("hémipar",$H29)),ISNUMBER(SEARCH("hemipar",$H29))),"Si déficit MS: privilégier véhicule à boîte automatique + aide au volant/commandes.",""),IF(OR(ISNUMBER(SEARCH("équilibre",$H29)),ISNUMBER(SEARCH("equilibre",$H29)),ISNUMBER(SEARCH("atax",$H29))),"Si instabilité: siège avec soutien latéral / accoudoir.",""),IF(OR(ISNUMBER(SEARCH("hémianops",$J29)),ISNUMBER(SEARCH("hemianops",$J29))),"Si champ visuel limité: dispositifs de vision angle mort (si compatible) + avis spécialisé.",""))</f>
        <v/>
      </c>
    </row>
    <row r="30">
      <c r="T30" s="2">
        <f>IF($E30="&lt; 6 mois","FIN_A",IF($G30="Oui","FIN_A",IF($I30="Oui",IFERROR(IF(OR(ISNUMBER(SEARCH("hémianops",$J30)),ISNUMBER(SEARCH("hemianops",$J30)),ISNUMBER(SEARCH("quadranops",$J30)),ISNUMBER(SEARCH("diplop",$J30)),ISNUMBER(SEARCH("nystag",$J30)),ISNUMBER(SEARCH("saccad",$J30))),"FIN_A","FIN_E"),"FIN_E"),IF($K30="Oui","FIN_C",IF($M30="Oui","FIN_A",IF($N30="Oui","FIN_A",IF($O30="Oui","FIN_A",IF($P30="Oui","FIN_A",IF($Q30="Oui","FIN_D",IF($R30="Non","FIN_E",IF($S30="Oui","FIN_A","FIN_D"))))))))))))</f>
        <v/>
      </c>
      <c r="X30" s="2">
        <f>TEXTJOIN(", ",TRUE,IF($I30="Oui",IF(ISNUMBER(SEARCH("lent",$J30)),"01.02",IF(ISNUMBER(SEARCH("lunett",$J30)),"01.01","01.06")),""),IF(OR(ISNUMBER(SEARCH("diplop",$J30)),ISNUMBER(SEARCH("couvre",$J30)),ISNUMBER(SEARCH("occlus",$J30))),"01.05",""),IF(OR(ISNUMBER(SEARCH("main droite",$H30)),ISNUMBER(SEARCH("faiblesse droite",$H30)),ISNUMBER(SEARCH("hémipar",$H30)),ISNUMBER(SEARCH("hemipar",$H30))),"78",""),IF(OR(ISNUMBER(SEARCH("main",$H30)),ISNUMBER(SEARCH("membre supérieur",$H30)),ISNUMBER(SEARCH("membre superieur",$H30))),"03.01",""),IF(OR(ISNUMBER(SEARCH("équilibre",$H30)),ISNUMBER(SEARCH("equilibre",$H30)),ISNUMBER(SEARCH("atax",$H30))),"43.03",""),IF(OR(ISNUMBER(SEARCH("champ visuel",$J30)),ISNUMBER(SEARCH("hémianops",$J30)),ISNUMBER(SEARCH("hemianops",$J30))),"42.05",""),IF(OR(ISNUMBER(SEARCH("faiblesse",$H30)),ISNUMBER(SEARCH("spastic",$H30))),"40.11",""),IF(OR(ISNUMBER(SEARCH("faiblesse",$H30)),ISNUMBER(SEARCH("spastic",$H30))),"35.02",""))</f>
        <v/>
      </c>
      <c r="Y30" s="2">
        <f>TEXTJOIN(" | ",TRUE,IF($I30="Oui","Vision: correction (lunettes/lentilles) selon bilan ophtalmo.",""),IF(OR(ISNUMBER(SEARCH("diplop",$J30)),ISNUMBER(SEARCH("occlus",$J30))),"Si diplopie: prisme/occlusion/couvre-œil si indiqué + avis oph.",""),IF(OR(ISNUMBER(SEARCH("main droite",$H30)),ISNUMBER(SEARCH("hémipar",$H30)),ISNUMBER(SEARCH("hemipar",$H30))),"Si déficit MS: privilégier véhicule à boîte automatique + aide au volant/commandes.",""),IF(OR(ISNUMBER(SEARCH("équilibre",$H30)),ISNUMBER(SEARCH("equilibre",$H30)),ISNUMBER(SEARCH("atax",$H30))),"Si instabilité: siège avec soutien latéral / accoudoir.",""),IF(OR(ISNUMBER(SEARCH("hémianops",$J30)),ISNUMBER(SEARCH("hemianops",$J30))),"Si champ visuel limité: dispositifs de vision angle mort (si compatible) + avis spécialisé.",""))</f>
        <v/>
      </c>
    </row>
    <row r="31">
      <c r="T31" s="2">
        <f>IF($E31="&lt; 6 mois","FIN_A",IF($G31="Oui","FIN_A",IF($I31="Oui",IFERROR(IF(OR(ISNUMBER(SEARCH("hémianops",$J31)),ISNUMBER(SEARCH("hemianops",$J31)),ISNUMBER(SEARCH("quadranops",$J31)),ISNUMBER(SEARCH("diplop",$J31)),ISNUMBER(SEARCH("nystag",$J31)),ISNUMBER(SEARCH("saccad",$J31))),"FIN_A","FIN_E"),"FIN_E"),IF($K31="Oui","FIN_C",IF($M31="Oui","FIN_A",IF($N31="Oui","FIN_A",IF($O31="Oui","FIN_A",IF($P31="Oui","FIN_A",IF($Q31="Oui","FIN_D",IF($R31="Non","FIN_E",IF($S31="Oui","FIN_A","FIN_D"))))))))))))</f>
        <v/>
      </c>
      <c r="X31" s="2">
        <f>TEXTJOIN(", ",TRUE,IF($I31="Oui",IF(ISNUMBER(SEARCH("lent",$J31)),"01.02",IF(ISNUMBER(SEARCH("lunett",$J31)),"01.01","01.06")),""),IF(OR(ISNUMBER(SEARCH("diplop",$J31)),ISNUMBER(SEARCH("couvre",$J31)),ISNUMBER(SEARCH("occlus",$J31))),"01.05",""),IF(OR(ISNUMBER(SEARCH("main droite",$H31)),ISNUMBER(SEARCH("faiblesse droite",$H31)),ISNUMBER(SEARCH("hémipar",$H31)),ISNUMBER(SEARCH("hemipar",$H31))),"78",""),IF(OR(ISNUMBER(SEARCH("main",$H31)),ISNUMBER(SEARCH("membre supérieur",$H31)),ISNUMBER(SEARCH("membre superieur",$H31))),"03.01",""),IF(OR(ISNUMBER(SEARCH("équilibre",$H31)),ISNUMBER(SEARCH("equilibre",$H31)),ISNUMBER(SEARCH("atax",$H31))),"43.03",""),IF(OR(ISNUMBER(SEARCH("champ visuel",$J31)),ISNUMBER(SEARCH("hémianops",$J31)),ISNUMBER(SEARCH("hemianops",$J31))),"42.05",""),IF(OR(ISNUMBER(SEARCH("faiblesse",$H31)),ISNUMBER(SEARCH("spastic",$H31))),"40.11",""),IF(OR(ISNUMBER(SEARCH("faiblesse",$H31)),ISNUMBER(SEARCH("spastic",$H31))),"35.02",""))</f>
        <v/>
      </c>
      <c r="Y31" s="2">
        <f>TEXTJOIN(" | ",TRUE,IF($I31="Oui","Vision: correction (lunettes/lentilles) selon bilan ophtalmo.",""),IF(OR(ISNUMBER(SEARCH("diplop",$J31)),ISNUMBER(SEARCH("occlus",$J31))),"Si diplopie: prisme/occlusion/couvre-œil si indiqué + avis oph.",""),IF(OR(ISNUMBER(SEARCH("main droite",$H31)),ISNUMBER(SEARCH("hémipar",$H31)),ISNUMBER(SEARCH("hemipar",$H31))),"Si déficit MS: privilégier véhicule à boîte automatique + aide au volant/commandes.",""),IF(OR(ISNUMBER(SEARCH("équilibre",$H31)),ISNUMBER(SEARCH("equilibre",$H31)),ISNUMBER(SEARCH("atax",$H31))),"Si instabilité: siège avec soutien latéral / accoudoir.",""),IF(OR(ISNUMBER(SEARCH("hémianops",$J31)),ISNUMBER(SEARCH("hemianops",$J31))),"Si champ visuel limité: dispositifs de vision angle mort (si compatible) + avis spécialisé.",""))</f>
        <v/>
      </c>
    </row>
    <row r="32">
      <c r="T32" s="2">
        <f>IF($E32="&lt; 6 mois","FIN_A",IF($G32="Oui","FIN_A",IF($I32="Oui",IFERROR(IF(OR(ISNUMBER(SEARCH("hémianops",$J32)),ISNUMBER(SEARCH("hemianops",$J32)),ISNUMBER(SEARCH("quadranops",$J32)),ISNUMBER(SEARCH("diplop",$J32)),ISNUMBER(SEARCH("nystag",$J32)),ISNUMBER(SEARCH("saccad",$J32))),"FIN_A","FIN_E"),"FIN_E"),IF($K32="Oui","FIN_C",IF($M32="Oui","FIN_A",IF($N32="Oui","FIN_A",IF($O32="Oui","FIN_A",IF($P32="Oui","FIN_A",IF($Q32="Oui","FIN_D",IF($R32="Non","FIN_E",IF($S32="Oui","FIN_A","FIN_D"))))))))))))</f>
        <v/>
      </c>
      <c r="X32" s="2">
        <f>TEXTJOIN(", ",TRUE,IF($I32="Oui",IF(ISNUMBER(SEARCH("lent",$J32)),"01.02",IF(ISNUMBER(SEARCH("lunett",$J32)),"01.01","01.06")),""),IF(OR(ISNUMBER(SEARCH("diplop",$J32)),ISNUMBER(SEARCH("couvre",$J32)),ISNUMBER(SEARCH("occlus",$J32))),"01.05",""),IF(OR(ISNUMBER(SEARCH("main droite",$H32)),ISNUMBER(SEARCH("faiblesse droite",$H32)),ISNUMBER(SEARCH("hémipar",$H32)),ISNUMBER(SEARCH("hemipar",$H32))),"78",""),IF(OR(ISNUMBER(SEARCH("main",$H32)),ISNUMBER(SEARCH("membre supérieur",$H32)),ISNUMBER(SEARCH("membre superieur",$H32))),"03.01",""),IF(OR(ISNUMBER(SEARCH("équilibre",$H32)),ISNUMBER(SEARCH("equilibre",$H32)),ISNUMBER(SEARCH("atax",$H32))),"43.03",""),IF(OR(ISNUMBER(SEARCH("champ visuel",$J32)),ISNUMBER(SEARCH("hémianops",$J32)),ISNUMBER(SEARCH("hemianops",$J32))),"42.05",""),IF(OR(ISNUMBER(SEARCH("faiblesse",$H32)),ISNUMBER(SEARCH("spastic",$H32))),"40.11",""),IF(OR(ISNUMBER(SEARCH("faiblesse",$H32)),ISNUMBER(SEARCH("spastic",$H32))),"35.02",""))</f>
        <v/>
      </c>
      <c r="Y32" s="2">
        <f>TEXTJOIN(" | ",TRUE,IF($I32="Oui","Vision: correction (lunettes/lentilles) selon bilan ophtalmo.",""),IF(OR(ISNUMBER(SEARCH("diplop",$J32)),ISNUMBER(SEARCH("occlus",$J32))),"Si diplopie: prisme/occlusion/couvre-œil si indiqué + avis oph.",""),IF(OR(ISNUMBER(SEARCH("main droite",$H32)),ISNUMBER(SEARCH("hémipar",$H32)),ISNUMBER(SEARCH("hemipar",$H32))),"Si déficit MS: privilégier véhicule à boîte automatique + aide au volant/commandes.",""),IF(OR(ISNUMBER(SEARCH("équilibre",$H32)),ISNUMBER(SEARCH("equilibre",$H32)),ISNUMBER(SEARCH("atax",$H32))),"Si instabilité: siège avec soutien latéral / accoudoir.",""),IF(OR(ISNUMBER(SEARCH("hémianops",$J32)),ISNUMBER(SEARCH("hemianops",$J32))),"Si champ visuel limité: dispositifs de vision angle mort (si compatible) + avis spécialisé.",""))</f>
        <v/>
      </c>
    </row>
    <row r="33">
      <c r="T33" s="2">
        <f>IF($E33="&lt; 6 mois","FIN_A",IF($G33="Oui","FIN_A",IF($I33="Oui",IFERROR(IF(OR(ISNUMBER(SEARCH("hémianops",$J33)),ISNUMBER(SEARCH("hemianops",$J33)),ISNUMBER(SEARCH("quadranops",$J33)),ISNUMBER(SEARCH("diplop",$J33)),ISNUMBER(SEARCH("nystag",$J33)),ISNUMBER(SEARCH("saccad",$J33))),"FIN_A","FIN_E"),"FIN_E"),IF($K33="Oui","FIN_C",IF($M33="Oui","FIN_A",IF($N33="Oui","FIN_A",IF($O33="Oui","FIN_A",IF($P33="Oui","FIN_A",IF($Q33="Oui","FIN_D",IF($R33="Non","FIN_E",IF($S33="Oui","FIN_A","FIN_D"))))))))))))</f>
        <v/>
      </c>
      <c r="X33" s="2">
        <f>TEXTJOIN(", ",TRUE,IF($I33="Oui",IF(ISNUMBER(SEARCH("lent",$J33)),"01.02",IF(ISNUMBER(SEARCH("lunett",$J33)),"01.01","01.06")),""),IF(OR(ISNUMBER(SEARCH("diplop",$J33)),ISNUMBER(SEARCH("couvre",$J33)),ISNUMBER(SEARCH("occlus",$J33))),"01.05",""),IF(OR(ISNUMBER(SEARCH("main droite",$H33)),ISNUMBER(SEARCH("faiblesse droite",$H33)),ISNUMBER(SEARCH("hémipar",$H33)),ISNUMBER(SEARCH("hemipar",$H33))),"78",""),IF(OR(ISNUMBER(SEARCH("main",$H33)),ISNUMBER(SEARCH("membre supérieur",$H33)),ISNUMBER(SEARCH("membre superieur",$H33))),"03.01",""),IF(OR(ISNUMBER(SEARCH("équilibre",$H33)),ISNUMBER(SEARCH("equilibre",$H33)),ISNUMBER(SEARCH("atax",$H33))),"43.03",""),IF(OR(ISNUMBER(SEARCH("champ visuel",$J33)),ISNUMBER(SEARCH("hémianops",$J33)),ISNUMBER(SEARCH("hemianops",$J33))),"42.05",""),IF(OR(ISNUMBER(SEARCH("faiblesse",$H33)),ISNUMBER(SEARCH("spastic",$H33))),"40.11",""),IF(OR(ISNUMBER(SEARCH("faiblesse",$H33)),ISNUMBER(SEARCH("spastic",$H33))),"35.02",""))</f>
        <v/>
      </c>
      <c r="Y33" s="2">
        <f>TEXTJOIN(" | ",TRUE,IF($I33="Oui","Vision: correction (lunettes/lentilles) selon bilan ophtalmo.",""),IF(OR(ISNUMBER(SEARCH("diplop",$J33)),ISNUMBER(SEARCH("occlus",$J33))),"Si diplopie: prisme/occlusion/couvre-œil si indiqué + avis oph.",""),IF(OR(ISNUMBER(SEARCH("main droite",$H33)),ISNUMBER(SEARCH("hémipar",$H33)),ISNUMBER(SEARCH("hemipar",$H33))),"Si déficit MS: privilégier véhicule à boîte automatique + aide au volant/commandes.",""),IF(OR(ISNUMBER(SEARCH("équilibre",$H33)),ISNUMBER(SEARCH("equilibre",$H33)),ISNUMBER(SEARCH("atax",$H33))),"Si instabilité: siège avec soutien latéral / accoudoir.",""),IF(OR(ISNUMBER(SEARCH("hémianops",$J33)),ISNUMBER(SEARCH("hemianops",$J33))),"Si champ visuel limité: dispositifs de vision angle mort (si compatible) + avis spécialisé.",""))</f>
        <v/>
      </c>
    </row>
    <row r="34">
      <c r="T34" s="2">
        <f>IF($E34="&lt; 6 mois","FIN_A",IF($G34="Oui","FIN_A",IF($I34="Oui",IFERROR(IF(OR(ISNUMBER(SEARCH("hémianops",$J34)),ISNUMBER(SEARCH("hemianops",$J34)),ISNUMBER(SEARCH("quadranops",$J34)),ISNUMBER(SEARCH("diplop",$J34)),ISNUMBER(SEARCH("nystag",$J34)),ISNUMBER(SEARCH("saccad",$J34))),"FIN_A","FIN_E"),"FIN_E"),IF($K34="Oui","FIN_C",IF($M34="Oui","FIN_A",IF($N34="Oui","FIN_A",IF($O34="Oui","FIN_A",IF($P34="Oui","FIN_A",IF($Q34="Oui","FIN_D",IF($R34="Non","FIN_E",IF($S34="Oui","FIN_A","FIN_D"))))))))))))</f>
        <v/>
      </c>
      <c r="X34" s="2">
        <f>TEXTJOIN(", ",TRUE,IF($I34="Oui",IF(ISNUMBER(SEARCH("lent",$J34)),"01.02",IF(ISNUMBER(SEARCH("lunett",$J34)),"01.01","01.06")),""),IF(OR(ISNUMBER(SEARCH("diplop",$J34)),ISNUMBER(SEARCH("couvre",$J34)),ISNUMBER(SEARCH("occlus",$J34))),"01.05",""),IF(OR(ISNUMBER(SEARCH("main droite",$H34)),ISNUMBER(SEARCH("faiblesse droite",$H34)),ISNUMBER(SEARCH("hémipar",$H34)),ISNUMBER(SEARCH("hemipar",$H34))),"78",""),IF(OR(ISNUMBER(SEARCH("main",$H34)),ISNUMBER(SEARCH("membre supérieur",$H34)),ISNUMBER(SEARCH("membre superieur",$H34))),"03.01",""),IF(OR(ISNUMBER(SEARCH("équilibre",$H34)),ISNUMBER(SEARCH("equilibre",$H34)),ISNUMBER(SEARCH("atax",$H34))),"43.03",""),IF(OR(ISNUMBER(SEARCH("champ visuel",$J34)),ISNUMBER(SEARCH("hémianops",$J34)),ISNUMBER(SEARCH("hemianops",$J34))),"42.05",""),IF(OR(ISNUMBER(SEARCH("faiblesse",$H34)),ISNUMBER(SEARCH("spastic",$H34))),"40.11",""),IF(OR(ISNUMBER(SEARCH("faiblesse",$H34)),ISNUMBER(SEARCH("spastic",$H34))),"35.02",""))</f>
        <v/>
      </c>
      <c r="Y34" s="2">
        <f>TEXTJOIN(" | ",TRUE,IF($I34="Oui","Vision: correction (lunettes/lentilles) selon bilan ophtalmo.",""),IF(OR(ISNUMBER(SEARCH("diplop",$J34)),ISNUMBER(SEARCH("occlus",$J34))),"Si diplopie: prisme/occlusion/couvre-œil si indiqué + avis oph.",""),IF(OR(ISNUMBER(SEARCH("main droite",$H34)),ISNUMBER(SEARCH("hémipar",$H34)),ISNUMBER(SEARCH("hemipar",$H34))),"Si déficit MS: privilégier véhicule à boîte automatique + aide au volant/commandes.",""),IF(OR(ISNUMBER(SEARCH("équilibre",$H34)),ISNUMBER(SEARCH("equilibre",$H34)),ISNUMBER(SEARCH("atax",$H34))),"Si instabilité: siège avec soutien latéral / accoudoir.",""),IF(OR(ISNUMBER(SEARCH("hémianops",$J34)),ISNUMBER(SEARCH("hemianops",$J34))),"Si champ visuel limité: dispositifs de vision angle mort (si compatible) + avis spécialisé.",""))</f>
        <v/>
      </c>
    </row>
    <row r="35">
      <c r="T35" s="2">
        <f>IF($E35="&lt; 6 mois","FIN_A",IF($G35="Oui","FIN_A",IF($I35="Oui",IFERROR(IF(OR(ISNUMBER(SEARCH("hémianops",$J35)),ISNUMBER(SEARCH("hemianops",$J35)),ISNUMBER(SEARCH("quadranops",$J35)),ISNUMBER(SEARCH("diplop",$J35)),ISNUMBER(SEARCH("nystag",$J35)),ISNUMBER(SEARCH("saccad",$J35))),"FIN_A","FIN_E"),"FIN_E"),IF($K35="Oui","FIN_C",IF($M35="Oui","FIN_A",IF($N35="Oui","FIN_A",IF($O35="Oui","FIN_A",IF($P35="Oui","FIN_A",IF($Q35="Oui","FIN_D",IF($R35="Non","FIN_E",IF($S35="Oui","FIN_A","FIN_D"))))))))))))</f>
        <v/>
      </c>
      <c r="X35" s="2">
        <f>TEXTJOIN(", ",TRUE,IF($I35="Oui",IF(ISNUMBER(SEARCH("lent",$J35)),"01.02",IF(ISNUMBER(SEARCH("lunett",$J35)),"01.01","01.06")),""),IF(OR(ISNUMBER(SEARCH("diplop",$J35)),ISNUMBER(SEARCH("couvre",$J35)),ISNUMBER(SEARCH("occlus",$J35))),"01.05",""),IF(OR(ISNUMBER(SEARCH("main droite",$H35)),ISNUMBER(SEARCH("faiblesse droite",$H35)),ISNUMBER(SEARCH("hémipar",$H35)),ISNUMBER(SEARCH("hemipar",$H35))),"78",""),IF(OR(ISNUMBER(SEARCH("main",$H35)),ISNUMBER(SEARCH("membre supérieur",$H35)),ISNUMBER(SEARCH("membre superieur",$H35))),"03.01",""),IF(OR(ISNUMBER(SEARCH("équilibre",$H35)),ISNUMBER(SEARCH("equilibre",$H35)),ISNUMBER(SEARCH("atax",$H35))),"43.03",""),IF(OR(ISNUMBER(SEARCH("champ visuel",$J35)),ISNUMBER(SEARCH("hémianops",$J35)),ISNUMBER(SEARCH("hemianops",$J35))),"42.05",""),IF(OR(ISNUMBER(SEARCH("faiblesse",$H35)),ISNUMBER(SEARCH("spastic",$H35))),"40.11",""),IF(OR(ISNUMBER(SEARCH("faiblesse",$H35)),ISNUMBER(SEARCH("spastic",$H35))),"35.02",""))</f>
        <v/>
      </c>
      <c r="Y35" s="2">
        <f>TEXTJOIN(" | ",TRUE,IF($I35="Oui","Vision: correction (lunettes/lentilles) selon bilan ophtalmo.",""),IF(OR(ISNUMBER(SEARCH("diplop",$J35)),ISNUMBER(SEARCH("occlus",$J35))),"Si diplopie: prisme/occlusion/couvre-œil si indiqué + avis oph.",""),IF(OR(ISNUMBER(SEARCH("main droite",$H35)),ISNUMBER(SEARCH("hémipar",$H35)),ISNUMBER(SEARCH("hemipar",$H35))),"Si déficit MS: privilégier véhicule à boîte automatique + aide au volant/commandes.",""),IF(OR(ISNUMBER(SEARCH("équilibre",$H35)),ISNUMBER(SEARCH("equilibre",$H35)),ISNUMBER(SEARCH("atax",$H35))),"Si instabilité: siège avec soutien latéral / accoudoir.",""),IF(OR(ISNUMBER(SEARCH("hémianops",$J35)),ISNUMBER(SEARCH("hemianops",$J35))),"Si champ visuel limité: dispositifs de vision angle mort (si compatible) + avis spécialisé.",""))</f>
        <v/>
      </c>
    </row>
    <row r="36">
      <c r="T36" s="2">
        <f>IF($E36="&lt; 6 mois","FIN_A",IF($G36="Oui","FIN_A",IF($I36="Oui",IFERROR(IF(OR(ISNUMBER(SEARCH("hémianops",$J36)),ISNUMBER(SEARCH("hemianops",$J36)),ISNUMBER(SEARCH("quadranops",$J36)),ISNUMBER(SEARCH("diplop",$J36)),ISNUMBER(SEARCH("nystag",$J36)),ISNUMBER(SEARCH("saccad",$J36))),"FIN_A","FIN_E"),"FIN_E"),IF($K36="Oui","FIN_C",IF($M36="Oui","FIN_A",IF($N36="Oui","FIN_A",IF($O36="Oui","FIN_A",IF($P36="Oui","FIN_A",IF($Q36="Oui","FIN_D",IF($R36="Non","FIN_E",IF($S36="Oui","FIN_A","FIN_D"))))))))))))</f>
        <v/>
      </c>
      <c r="X36" s="2">
        <f>TEXTJOIN(", ",TRUE,IF($I36="Oui",IF(ISNUMBER(SEARCH("lent",$J36)),"01.02",IF(ISNUMBER(SEARCH("lunett",$J36)),"01.01","01.06")),""),IF(OR(ISNUMBER(SEARCH("diplop",$J36)),ISNUMBER(SEARCH("couvre",$J36)),ISNUMBER(SEARCH("occlus",$J36))),"01.05",""),IF(OR(ISNUMBER(SEARCH("main droite",$H36)),ISNUMBER(SEARCH("faiblesse droite",$H36)),ISNUMBER(SEARCH("hémipar",$H36)),ISNUMBER(SEARCH("hemipar",$H36))),"78",""),IF(OR(ISNUMBER(SEARCH("main",$H36)),ISNUMBER(SEARCH("membre supérieur",$H36)),ISNUMBER(SEARCH("membre superieur",$H36))),"03.01",""),IF(OR(ISNUMBER(SEARCH("équilibre",$H36)),ISNUMBER(SEARCH("equilibre",$H36)),ISNUMBER(SEARCH("atax",$H36))),"43.03",""),IF(OR(ISNUMBER(SEARCH("champ visuel",$J36)),ISNUMBER(SEARCH("hémianops",$J36)),ISNUMBER(SEARCH("hemianops",$J36))),"42.05",""),IF(OR(ISNUMBER(SEARCH("faiblesse",$H36)),ISNUMBER(SEARCH("spastic",$H36))),"40.11",""),IF(OR(ISNUMBER(SEARCH("faiblesse",$H36)),ISNUMBER(SEARCH("spastic",$H36))),"35.02",""))</f>
        <v/>
      </c>
      <c r="Y36" s="2">
        <f>TEXTJOIN(" | ",TRUE,IF($I36="Oui","Vision: correction (lunettes/lentilles) selon bilan ophtalmo.",""),IF(OR(ISNUMBER(SEARCH("diplop",$J36)),ISNUMBER(SEARCH("occlus",$J36))),"Si diplopie: prisme/occlusion/couvre-œil si indiqué + avis oph.",""),IF(OR(ISNUMBER(SEARCH("main droite",$H36)),ISNUMBER(SEARCH("hémipar",$H36)),ISNUMBER(SEARCH("hemipar",$H36))),"Si déficit MS: privilégier véhicule à boîte automatique + aide au volant/commandes.",""),IF(OR(ISNUMBER(SEARCH("équilibre",$H36)),ISNUMBER(SEARCH("equilibre",$H36)),ISNUMBER(SEARCH("atax",$H36))),"Si instabilité: siège avec soutien latéral / accoudoir.",""),IF(OR(ISNUMBER(SEARCH("hémianops",$J36)),ISNUMBER(SEARCH("hemianops",$J36))),"Si champ visuel limité: dispositifs de vision angle mort (si compatible) + avis spécialisé.",""))</f>
        <v/>
      </c>
    </row>
    <row r="37">
      <c r="T37" s="2">
        <f>IF($E37="&lt; 6 mois","FIN_A",IF($G37="Oui","FIN_A",IF($I37="Oui",IFERROR(IF(OR(ISNUMBER(SEARCH("hémianops",$J37)),ISNUMBER(SEARCH("hemianops",$J37)),ISNUMBER(SEARCH("quadranops",$J37)),ISNUMBER(SEARCH("diplop",$J37)),ISNUMBER(SEARCH("nystag",$J37)),ISNUMBER(SEARCH("saccad",$J37))),"FIN_A","FIN_E"),"FIN_E"),IF($K37="Oui","FIN_C",IF($M37="Oui","FIN_A",IF($N37="Oui","FIN_A",IF($O37="Oui","FIN_A",IF($P37="Oui","FIN_A",IF($Q37="Oui","FIN_D",IF($R37="Non","FIN_E",IF($S37="Oui","FIN_A","FIN_D"))))))))))))</f>
        <v/>
      </c>
      <c r="X37" s="2">
        <f>TEXTJOIN(", ",TRUE,IF($I37="Oui",IF(ISNUMBER(SEARCH("lent",$J37)),"01.02",IF(ISNUMBER(SEARCH("lunett",$J37)),"01.01","01.06")),""),IF(OR(ISNUMBER(SEARCH("diplop",$J37)),ISNUMBER(SEARCH("couvre",$J37)),ISNUMBER(SEARCH("occlus",$J37))),"01.05",""),IF(OR(ISNUMBER(SEARCH("main droite",$H37)),ISNUMBER(SEARCH("faiblesse droite",$H37)),ISNUMBER(SEARCH("hémipar",$H37)),ISNUMBER(SEARCH("hemipar",$H37))),"78",""),IF(OR(ISNUMBER(SEARCH("main",$H37)),ISNUMBER(SEARCH("membre supérieur",$H37)),ISNUMBER(SEARCH("membre superieur",$H37))),"03.01",""),IF(OR(ISNUMBER(SEARCH("équilibre",$H37)),ISNUMBER(SEARCH("equilibre",$H37)),ISNUMBER(SEARCH("atax",$H37))),"43.03",""),IF(OR(ISNUMBER(SEARCH("champ visuel",$J37)),ISNUMBER(SEARCH("hémianops",$J37)),ISNUMBER(SEARCH("hemianops",$J37))),"42.05",""),IF(OR(ISNUMBER(SEARCH("faiblesse",$H37)),ISNUMBER(SEARCH("spastic",$H37))),"40.11",""),IF(OR(ISNUMBER(SEARCH("faiblesse",$H37)),ISNUMBER(SEARCH("spastic",$H37))),"35.02",""))</f>
        <v/>
      </c>
      <c r="Y37" s="2">
        <f>TEXTJOIN(" | ",TRUE,IF($I37="Oui","Vision: correction (lunettes/lentilles) selon bilan ophtalmo.",""),IF(OR(ISNUMBER(SEARCH("diplop",$J37)),ISNUMBER(SEARCH("occlus",$J37))),"Si diplopie: prisme/occlusion/couvre-œil si indiqué + avis oph.",""),IF(OR(ISNUMBER(SEARCH("main droite",$H37)),ISNUMBER(SEARCH("hémipar",$H37)),ISNUMBER(SEARCH("hemipar",$H37))),"Si déficit MS: privilégier véhicule à boîte automatique + aide au volant/commandes.",""),IF(OR(ISNUMBER(SEARCH("équilibre",$H37)),ISNUMBER(SEARCH("equilibre",$H37)),ISNUMBER(SEARCH("atax",$H37))),"Si instabilité: siège avec soutien latéral / accoudoir.",""),IF(OR(ISNUMBER(SEARCH("hémianops",$J37)),ISNUMBER(SEARCH("hemianops",$J37))),"Si champ visuel limité: dispositifs de vision angle mort (si compatible) + avis spécialisé.",""))</f>
        <v/>
      </c>
    </row>
    <row r="38">
      <c r="T38" s="2">
        <f>IF($E38="&lt; 6 mois","FIN_A",IF($G38="Oui","FIN_A",IF($I38="Oui",IFERROR(IF(OR(ISNUMBER(SEARCH("hémianops",$J38)),ISNUMBER(SEARCH("hemianops",$J38)),ISNUMBER(SEARCH("quadranops",$J38)),ISNUMBER(SEARCH("diplop",$J38)),ISNUMBER(SEARCH("nystag",$J38)),ISNUMBER(SEARCH("saccad",$J38))),"FIN_A","FIN_E"),"FIN_E"),IF($K38="Oui","FIN_C",IF($M38="Oui","FIN_A",IF($N38="Oui","FIN_A",IF($O38="Oui","FIN_A",IF($P38="Oui","FIN_A",IF($Q38="Oui","FIN_D",IF($R38="Non","FIN_E",IF($S38="Oui","FIN_A","FIN_D"))))))))))))</f>
        <v/>
      </c>
      <c r="X38" s="2">
        <f>TEXTJOIN(", ",TRUE,IF($I38="Oui",IF(ISNUMBER(SEARCH("lent",$J38)),"01.02",IF(ISNUMBER(SEARCH("lunett",$J38)),"01.01","01.06")),""),IF(OR(ISNUMBER(SEARCH("diplop",$J38)),ISNUMBER(SEARCH("couvre",$J38)),ISNUMBER(SEARCH("occlus",$J38))),"01.05",""),IF(OR(ISNUMBER(SEARCH("main droite",$H38)),ISNUMBER(SEARCH("faiblesse droite",$H38)),ISNUMBER(SEARCH("hémipar",$H38)),ISNUMBER(SEARCH("hemipar",$H38))),"78",""),IF(OR(ISNUMBER(SEARCH("main",$H38)),ISNUMBER(SEARCH("membre supérieur",$H38)),ISNUMBER(SEARCH("membre superieur",$H38))),"03.01",""),IF(OR(ISNUMBER(SEARCH("équilibre",$H38)),ISNUMBER(SEARCH("equilibre",$H38)),ISNUMBER(SEARCH("atax",$H38))),"43.03",""),IF(OR(ISNUMBER(SEARCH("champ visuel",$J38)),ISNUMBER(SEARCH("hémianops",$J38)),ISNUMBER(SEARCH("hemianops",$J38))),"42.05",""),IF(OR(ISNUMBER(SEARCH("faiblesse",$H38)),ISNUMBER(SEARCH("spastic",$H38))),"40.11",""),IF(OR(ISNUMBER(SEARCH("faiblesse",$H38)),ISNUMBER(SEARCH("spastic",$H38))),"35.02",""))</f>
        <v/>
      </c>
      <c r="Y38" s="2">
        <f>TEXTJOIN(" | ",TRUE,IF($I38="Oui","Vision: correction (lunettes/lentilles) selon bilan ophtalmo.",""),IF(OR(ISNUMBER(SEARCH("diplop",$J38)),ISNUMBER(SEARCH("occlus",$J38))),"Si diplopie: prisme/occlusion/couvre-œil si indiqué + avis oph.",""),IF(OR(ISNUMBER(SEARCH("main droite",$H38)),ISNUMBER(SEARCH("hémipar",$H38)),ISNUMBER(SEARCH("hemipar",$H38))),"Si déficit MS: privilégier véhicule à boîte automatique + aide au volant/commandes.",""),IF(OR(ISNUMBER(SEARCH("équilibre",$H38)),ISNUMBER(SEARCH("equilibre",$H38)),ISNUMBER(SEARCH("atax",$H38))),"Si instabilité: siège avec soutien latéral / accoudoir.",""),IF(OR(ISNUMBER(SEARCH("hémianops",$J38)),ISNUMBER(SEARCH("hemianops",$J38))),"Si champ visuel limité: dispositifs de vision angle mort (si compatible) + avis spécialisé.",""))</f>
        <v/>
      </c>
    </row>
    <row r="39">
      <c r="T39" s="2">
        <f>IF($E39="&lt; 6 mois","FIN_A",IF($G39="Oui","FIN_A",IF($I39="Oui",IFERROR(IF(OR(ISNUMBER(SEARCH("hémianops",$J39)),ISNUMBER(SEARCH("hemianops",$J39)),ISNUMBER(SEARCH("quadranops",$J39)),ISNUMBER(SEARCH("diplop",$J39)),ISNUMBER(SEARCH("nystag",$J39)),ISNUMBER(SEARCH("saccad",$J39))),"FIN_A","FIN_E"),"FIN_E"),IF($K39="Oui","FIN_C",IF($M39="Oui","FIN_A",IF($N39="Oui","FIN_A",IF($O39="Oui","FIN_A",IF($P39="Oui","FIN_A",IF($Q39="Oui","FIN_D",IF($R39="Non","FIN_E",IF($S39="Oui","FIN_A","FIN_D"))))))))))))</f>
        <v/>
      </c>
      <c r="X39" s="2">
        <f>TEXTJOIN(", ",TRUE,IF($I39="Oui",IF(ISNUMBER(SEARCH("lent",$J39)),"01.02",IF(ISNUMBER(SEARCH("lunett",$J39)),"01.01","01.06")),""),IF(OR(ISNUMBER(SEARCH("diplop",$J39)),ISNUMBER(SEARCH("couvre",$J39)),ISNUMBER(SEARCH("occlus",$J39))),"01.05",""),IF(OR(ISNUMBER(SEARCH("main droite",$H39)),ISNUMBER(SEARCH("faiblesse droite",$H39)),ISNUMBER(SEARCH("hémipar",$H39)),ISNUMBER(SEARCH("hemipar",$H39))),"78",""),IF(OR(ISNUMBER(SEARCH("main",$H39)),ISNUMBER(SEARCH("membre supérieur",$H39)),ISNUMBER(SEARCH("membre superieur",$H39))),"03.01",""),IF(OR(ISNUMBER(SEARCH("équilibre",$H39)),ISNUMBER(SEARCH("equilibre",$H39)),ISNUMBER(SEARCH("atax",$H39))),"43.03",""),IF(OR(ISNUMBER(SEARCH("champ visuel",$J39)),ISNUMBER(SEARCH("hémianops",$J39)),ISNUMBER(SEARCH("hemianops",$J39))),"42.05",""),IF(OR(ISNUMBER(SEARCH("faiblesse",$H39)),ISNUMBER(SEARCH("spastic",$H39))),"40.11",""),IF(OR(ISNUMBER(SEARCH("faiblesse",$H39)),ISNUMBER(SEARCH("spastic",$H39))),"35.02",""))</f>
        <v/>
      </c>
      <c r="Y39" s="2">
        <f>TEXTJOIN(" | ",TRUE,IF($I39="Oui","Vision: correction (lunettes/lentilles) selon bilan ophtalmo.",""),IF(OR(ISNUMBER(SEARCH("diplop",$J39)),ISNUMBER(SEARCH("occlus",$J39))),"Si diplopie: prisme/occlusion/couvre-œil si indiqué + avis oph.",""),IF(OR(ISNUMBER(SEARCH("main droite",$H39)),ISNUMBER(SEARCH("hémipar",$H39)),ISNUMBER(SEARCH("hemipar",$H39))),"Si déficit MS: privilégier véhicule à boîte automatique + aide au volant/commandes.",""),IF(OR(ISNUMBER(SEARCH("équilibre",$H39)),ISNUMBER(SEARCH("equilibre",$H39)),ISNUMBER(SEARCH("atax",$H39))),"Si instabilité: siège avec soutien latéral / accoudoir.",""),IF(OR(ISNUMBER(SEARCH("hémianops",$J39)),ISNUMBER(SEARCH("hemianops",$J39))),"Si champ visuel limité: dispositifs de vision angle mort (si compatible) + avis spécialisé.",""))</f>
        <v/>
      </c>
    </row>
    <row r="40">
      <c r="T40" s="2">
        <f>IF($E40="&lt; 6 mois","FIN_A",IF($G40="Oui","FIN_A",IF($I40="Oui",IFERROR(IF(OR(ISNUMBER(SEARCH("hémianops",$J40)),ISNUMBER(SEARCH("hemianops",$J40)),ISNUMBER(SEARCH("quadranops",$J40)),ISNUMBER(SEARCH("diplop",$J40)),ISNUMBER(SEARCH("nystag",$J40)),ISNUMBER(SEARCH("saccad",$J40))),"FIN_A","FIN_E"),"FIN_E"),IF($K40="Oui","FIN_C",IF($M40="Oui","FIN_A",IF($N40="Oui","FIN_A",IF($O40="Oui","FIN_A",IF($P40="Oui","FIN_A",IF($Q40="Oui","FIN_D",IF($R40="Non","FIN_E",IF($S40="Oui","FIN_A","FIN_D"))))))))))))</f>
        <v/>
      </c>
      <c r="X40" s="2">
        <f>TEXTJOIN(", ",TRUE,IF($I40="Oui",IF(ISNUMBER(SEARCH("lent",$J40)),"01.02",IF(ISNUMBER(SEARCH("lunett",$J40)),"01.01","01.06")),""),IF(OR(ISNUMBER(SEARCH("diplop",$J40)),ISNUMBER(SEARCH("couvre",$J40)),ISNUMBER(SEARCH("occlus",$J40))),"01.05",""),IF(OR(ISNUMBER(SEARCH("main droite",$H40)),ISNUMBER(SEARCH("faiblesse droite",$H40)),ISNUMBER(SEARCH("hémipar",$H40)),ISNUMBER(SEARCH("hemipar",$H40))),"78",""),IF(OR(ISNUMBER(SEARCH("main",$H40)),ISNUMBER(SEARCH("membre supérieur",$H40)),ISNUMBER(SEARCH("membre superieur",$H40))),"03.01",""),IF(OR(ISNUMBER(SEARCH("équilibre",$H40)),ISNUMBER(SEARCH("equilibre",$H40)),ISNUMBER(SEARCH("atax",$H40))),"43.03",""),IF(OR(ISNUMBER(SEARCH("champ visuel",$J40)),ISNUMBER(SEARCH("hémianops",$J40)),ISNUMBER(SEARCH("hemianops",$J40))),"42.05",""),IF(OR(ISNUMBER(SEARCH("faiblesse",$H40)),ISNUMBER(SEARCH("spastic",$H40))),"40.11",""),IF(OR(ISNUMBER(SEARCH("faiblesse",$H40)),ISNUMBER(SEARCH("spastic",$H40))),"35.02",""))</f>
        <v/>
      </c>
      <c r="Y40" s="2">
        <f>TEXTJOIN(" | ",TRUE,IF($I40="Oui","Vision: correction (lunettes/lentilles) selon bilan ophtalmo.",""),IF(OR(ISNUMBER(SEARCH("diplop",$J40)),ISNUMBER(SEARCH("occlus",$J40))),"Si diplopie: prisme/occlusion/couvre-œil si indiqué + avis oph.",""),IF(OR(ISNUMBER(SEARCH("main droite",$H40)),ISNUMBER(SEARCH("hémipar",$H40)),ISNUMBER(SEARCH("hemipar",$H40))),"Si déficit MS: privilégier véhicule à boîte automatique + aide au volant/commandes.",""),IF(OR(ISNUMBER(SEARCH("équilibre",$H40)),ISNUMBER(SEARCH("equilibre",$H40)),ISNUMBER(SEARCH("atax",$H40))),"Si instabilité: siège avec soutien latéral / accoudoir.",""),IF(OR(ISNUMBER(SEARCH("hémianops",$J40)),ISNUMBER(SEARCH("hemianops",$J40))),"Si champ visuel limité: dispositifs de vision angle mort (si compatible) + avis spécialisé.",""))</f>
        <v/>
      </c>
    </row>
    <row r="41">
      <c r="T41" s="2">
        <f>IF($E41="&lt; 6 mois","FIN_A",IF($G41="Oui","FIN_A",IF($I41="Oui",IFERROR(IF(OR(ISNUMBER(SEARCH("hémianops",$J41)),ISNUMBER(SEARCH("hemianops",$J41)),ISNUMBER(SEARCH("quadranops",$J41)),ISNUMBER(SEARCH("diplop",$J41)),ISNUMBER(SEARCH("nystag",$J41)),ISNUMBER(SEARCH("saccad",$J41))),"FIN_A","FIN_E"),"FIN_E"),IF($K41="Oui","FIN_C",IF($M41="Oui","FIN_A",IF($N41="Oui","FIN_A",IF($O41="Oui","FIN_A",IF($P41="Oui","FIN_A",IF($Q41="Oui","FIN_D",IF($R41="Non","FIN_E",IF($S41="Oui","FIN_A","FIN_D"))))))))))))</f>
        <v/>
      </c>
      <c r="X41" s="2">
        <f>TEXTJOIN(", ",TRUE,IF($I41="Oui",IF(ISNUMBER(SEARCH("lent",$J41)),"01.02",IF(ISNUMBER(SEARCH("lunett",$J41)),"01.01","01.06")),""),IF(OR(ISNUMBER(SEARCH("diplop",$J41)),ISNUMBER(SEARCH("couvre",$J41)),ISNUMBER(SEARCH("occlus",$J41))),"01.05",""),IF(OR(ISNUMBER(SEARCH("main droite",$H41)),ISNUMBER(SEARCH("faiblesse droite",$H41)),ISNUMBER(SEARCH("hémipar",$H41)),ISNUMBER(SEARCH("hemipar",$H41))),"78",""),IF(OR(ISNUMBER(SEARCH("main",$H41)),ISNUMBER(SEARCH("membre supérieur",$H41)),ISNUMBER(SEARCH("membre superieur",$H41))),"03.01",""),IF(OR(ISNUMBER(SEARCH("équilibre",$H41)),ISNUMBER(SEARCH("equilibre",$H41)),ISNUMBER(SEARCH("atax",$H41))),"43.03",""),IF(OR(ISNUMBER(SEARCH("champ visuel",$J41)),ISNUMBER(SEARCH("hémianops",$J41)),ISNUMBER(SEARCH("hemianops",$J41))),"42.05",""),IF(OR(ISNUMBER(SEARCH("faiblesse",$H41)),ISNUMBER(SEARCH("spastic",$H41))),"40.11",""),IF(OR(ISNUMBER(SEARCH("faiblesse",$H41)),ISNUMBER(SEARCH("spastic",$H41))),"35.02",""))</f>
        <v/>
      </c>
      <c r="Y41" s="2">
        <f>TEXTJOIN(" | ",TRUE,IF($I41="Oui","Vision: correction (lunettes/lentilles) selon bilan ophtalmo.",""),IF(OR(ISNUMBER(SEARCH("diplop",$J41)),ISNUMBER(SEARCH("occlus",$J41))),"Si diplopie: prisme/occlusion/couvre-œil si indiqué + avis oph.",""),IF(OR(ISNUMBER(SEARCH("main droite",$H41)),ISNUMBER(SEARCH("hémipar",$H41)),ISNUMBER(SEARCH("hemipar",$H41))),"Si déficit MS: privilégier véhicule à boîte automatique + aide au volant/commandes.",""),IF(OR(ISNUMBER(SEARCH("équilibre",$H41)),ISNUMBER(SEARCH("equilibre",$H41)),ISNUMBER(SEARCH("atax",$H41))),"Si instabilité: siège avec soutien latéral / accoudoir.",""),IF(OR(ISNUMBER(SEARCH("hémianops",$J41)),ISNUMBER(SEARCH("hemianops",$J41))),"Si champ visuel limité: dispositifs de vision angle mort (si compatible) + avis spécialisé.",""))</f>
        <v/>
      </c>
    </row>
    <row r="42">
      <c r="T42" s="2">
        <f>IF($E42="&lt; 6 mois","FIN_A",IF($G42="Oui","FIN_A",IF($I42="Oui",IFERROR(IF(OR(ISNUMBER(SEARCH("hémianops",$J42)),ISNUMBER(SEARCH("hemianops",$J42)),ISNUMBER(SEARCH("quadranops",$J42)),ISNUMBER(SEARCH("diplop",$J42)),ISNUMBER(SEARCH("nystag",$J42)),ISNUMBER(SEARCH("saccad",$J42))),"FIN_A","FIN_E"),"FIN_E"),IF($K42="Oui","FIN_C",IF($M42="Oui","FIN_A",IF($N42="Oui","FIN_A",IF($O42="Oui","FIN_A",IF($P42="Oui","FIN_A",IF($Q42="Oui","FIN_D",IF($R42="Non","FIN_E",IF($S42="Oui","FIN_A","FIN_D"))))))))))))</f>
        <v/>
      </c>
      <c r="X42" s="2">
        <f>TEXTJOIN(", ",TRUE,IF($I42="Oui",IF(ISNUMBER(SEARCH("lent",$J42)),"01.02",IF(ISNUMBER(SEARCH("lunett",$J42)),"01.01","01.06")),""),IF(OR(ISNUMBER(SEARCH("diplop",$J42)),ISNUMBER(SEARCH("couvre",$J42)),ISNUMBER(SEARCH("occlus",$J42))),"01.05",""),IF(OR(ISNUMBER(SEARCH("main droite",$H42)),ISNUMBER(SEARCH("faiblesse droite",$H42)),ISNUMBER(SEARCH("hémipar",$H42)),ISNUMBER(SEARCH("hemipar",$H42))),"78",""),IF(OR(ISNUMBER(SEARCH("main",$H42)),ISNUMBER(SEARCH("membre supérieur",$H42)),ISNUMBER(SEARCH("membre superieur",$H42))),"03.01",""),IF(OR(ISNUMBER(SEARCH("équilibre",$H42)),ISNUMBER(SEARCH("equilibre",$H42)),ISNUMBER(SEARCH("atax",$H42))),"43.03",""),IF(OR(ISNUMBER(SEARCH("champ visuel",$J42)),ISNUMBER(SEARCH("hémianops",$J42)),ISNUMBER(SEARCH("hemianops",$J42))),"42.05",""),IF(OR(ISNUMBER(SEARCH("faiblesse",$H42)),ISNUMBER(SEARCH("spastic",$H42))),"40.11",""),IF(OR(ISNUMBER(SEARCH("faiblesse",$H42)),ISNUMBER(SEARCH("spastic",$H42))),"35.02",""))</f>
        <v/>
      </c>
      <c r="Y42" s="2">
        <f>TEXTJOIN(" | ",TRUE,IF($I42="Oui","Vision: correction (lunettes/lentilles) selon bilan ophtalmo.",""),IF(OR(ISNUMBER(SEARCH("diplop",$J42)),ISNUMBER(SEARCH("occlus",$J42))),"Si diplopie: prisme/occlusion/couvre-œil si indiqué + avis oph.",""),IF(OR(ISNUMBER(SEARCH("main droite",$H42)),ISNUMBER(SEARCH("hémipar",$H42)),ISNUMBER(SEARCH("hemipar",$H42))),"Si déficit MS: privilégier véhicule à boîte automatique + aide au volant/commandes.",""),IF(OR(ISNUMBER(SEARCH("équilibre",$H42)),ISNUMBER(SEARCH("equilibre",$H42)),ISNUMBER(SEARCH("atax",$H42))),"Si instabilité: siège avec soutien latéral / accoudoir.",""),IF(OR(ISNUMBER(SEARCH("hémianops",$J42)),ISNUMBER(SEARCH("hemianops",$J42))),"Si champ visuel limité: dispositifs de vision angle mort (si compatible) + avis spécialisé.",""))</f>
        <v/>
      </c>
    </row>
    <row r="43">
      <c r="T43" s="2">
        <f>IF($E43="&lt; 6 mois","FIN_A",IF($G43="Oui","FIN_A",IF($I43="Oui",IFERROR(IF(OR(ISNUMBER(SEARCH("hémianops",$J43)),ISNUMBER(SEARCH("hemianops",$J43)),ISNUMBER(SEARCH("quadranops",$J43)),ISNUMBER(SEARCH("diplop",$J43)),ISNUMBER(SEARCH("nystag",$J43)),ISNUMBER(SEARCH("saccad",$J43))),"FIN_A","FIN_E"),"FIN_E"),IF($K43="Oui","FIN_C",IF($M43="Oui","FIN_A",IF($N43="Oui","FIN_A",IF($O43="Oui","FIN_A",IF($P43="Oui","FIN_A",IF($Q43="Oui","FIN_D",IF($R43="Non","FIN_E",IF($S43="Oui","FIN_A","FIN_D"))))))))))))</f>
        <v/>
      </c>
      <c r="X43" s="2">
        <f>TEXTJOIN(", ",TRUE,IF($I43="Oui",IF(ISNUMBER(SEARCH("lent",$J43)),"01.02",IF(ISNUMBER(SEARCH("lunett",$J43)),"01.01","01.06")),""),IF(OR(ISNUMBER(SEARCH("diplop",$J43)),ISNUMBER(SEARCH("couvre",$J43)),ISNUMBER(SEARCH("occlus",$J43))),"01.05",""),IF(OR(ISNUMBER(SEARCH("main droite",$H43)),ISNUMBER(SEARCH("faiblesse droite",$H43)),ISNUMBER(SEARCH("hémipar",$H43)),ISNUMBER(SEARCH("hemipar",$H43))),"78",""),IF(OR(ISNUMBER(SEARCH("main",$H43)),ISNUMBER(SEARCH("membre supérieur",$H43)),ISNUMBER(SEARCH("membre superieur",$H43))),"03.01",""),IF(OR(ISNUMBER(SEARCH("équilibre",$H43)),ISNUMBER(SEARCH("equilibre",$H43)),ISNUMBER(SEARCH("atax",$H43))),"43.03",""),IF(OR(ISNUMBER(SEARCH("champ visuel",$J43)),ISNUMBER(SEARCH("hémianops",$J43)),ISNUMBER(SEARCH("hemianops",$J43))),"42.05",""),IF(OR(ISNUMBER(SEARCH("faiblesse",$H43)),ISNUMBER(SEARCH("spastic",$H43))),"40.11",""),IF(OR(ISNUMBER(SEARCH("faiblesse",$H43)),ISNUMBER(SEARCH("spastic",$H43))),"35.02",""))</f>
        <v/>
      </c>
      <c r="Y43" s="2">
        <f>TEXTJOIN(" | ",TRUE,IF($I43="Oui","Vision: correction (lunettes/lentilles) selon bilan ophtalmo.",""),IF(OR(ISNUMBER(SEARCH("diplop",$J43)),ISNUMBER(SEARCH("occlus",$J43))),"Si diplopie: prisme/occlusion/couvre-œil si indiqué + avis oph.",""),IF(OR(ISNUMBER(SEARCH("main droite",$H43)),ISNUMBER(SEARCH("hémipar",$H43)),ISNUMBER(SEARCH("hemipar",$H43))),"Si déficit MS: privilégier véhicule à boîte automatique + aide au volant/commandes.",""),IF(OR(ISNUMBER(SEARCH("équilibre",$H43)),ISNUMBER(SEARCH("equilibre",$H43)),ISNUMBER(SEARCH("atax",$H43))),"Si instabilité: siège avec soutien latéral / accoudoir.",""),IF(OR(ISNUMBER(SEARCH("hémianops",$J43)),ISNUMBER(SEARCH("hemianops",$J43))),"Si champ visuel limité: dispositifs de vision angle mort (si compatible) + avis spécialisé.",""))</f>
        <v/>
      </c>
    </row>
    <row r="44">
      <c r="T44" s="2">
        <f>IF($E44="&lt; 6 mois","FIN_A",IF($G44="Oui","FIN_A",IF($I44="Oui",IFERROR(IF(OR(ISNUMBER(SEARCH("hémianops",$J44)),ISNUMBER(SEARCH("hemianops",$J44)),ISNUMBER(SEARCH("quadranops",$J44)),ISNUMBER(SEARCH("diplop",$J44)),ISNUMBER(SEARCH("nystag",$J44)),ISNUMBER(SEARCH("saccad",$J44))),"FIN_A","FIN_E"),"FIN_E"),IF($K44="Oui","FIN_C",IF($M44="Oui","FIN_A",IF($N44="Oui","FIN_A",IF($O44="Oui","FIN_A",IF($P44="Oui","FIN_A",IF($Q44="Oui","FIN_D",IF($R44="Non","FIN_E",IF($S44="Oui","FIN_A","FIN_D"))))))))))))</f>
        <v/>
      </c>
      <c r="X44" s="2">
        <f>TEXTJOIN(", ",TRUE,IF($I44="Oui",IF(ISNUMBER(SEARCH("lent",$J44)),"01.02",IF(ISNUMBER(SEARCH("lunett",$J44)),"01.01","01.06")),""),IF(OR(ISNUMBER(SEARCH("diplop",$J44)),ISNUMBER(SEARCH("couvre",$J44)),ISNUMBER(SEARCH("occlus",$J44))),"01.05",""),IF(OR(ISNUMBER(SEARCH("main droite",$H44)),ISNUMBER(SEARCH("faiblesse droite",$H44)),ISNUMBER(SEARCH("hémipar",$H44)),ISNUMBER(SEARCH("hemipar",$H44))),"78",""),IF(OR(ISNUMBER(SEARCH("main",$H44)),ISNUMBER(SEARCH("membre supérieur",$H44)),ISNUMBER(SEARCH("membre superieur",$H44))),"03.01",""),IF(OR(ISNUMBER(SEARCH("équilibre",$H44)),ISNUMBER(SEARCH("equilibre",$H44)),ISNUMBER(SEARCH("atax",$H44))),"43.03",""),IF(OR(ISNUMBER(SEARCH("champ visuel",$J44)),ISNUMBER(SEARCH("hémianops",$J44)),ISNUMBER(SEARCH("hemianops",$J44))),"42.05",""),IF(OR(ISNUMBER(SEARCH("faiblesse",$H44)),ISNUMBER(SEARCH("spastic",$H44))),"40.11",""),IF(OR(ISNUMBER(SEARCH("faiblesse",$H44)),ISNUMBER(SEARCH("spastic",$H44))),"35.02",""))</f>
        <v/>
      </c>
      <c r="Y44" s="2">
        <f>TEXTJOIN(" | ",TRUE,IF($I44="Oui","Vision: correction (lunettes/lentilles) selon bilan ophtalmo.",""),IF(OR(ISNUMBER(SEARCH("diplop",$J44)),ISNUMBER(SEARCH("occlus",$J44))),"Si diplopie: prisme/occlusion/couvre-œil si indiqué + avis oph.",""),IF(OR(ISNUMBER(SEARCH("main droite",$H44)),ISNUMBER(SEARCH("hémipar",$H44)),ISNUMBER(SEARCH("hemipar",$H44))),"Si déficit MS: privilégier véhicule à boîte automatique + aide au volant/commandes.",""),IF(OR(ISNUMBER(SEARCH("équilibre",$H44)),ISNUMBER(SEARCH("equilibre",$H44)),ISNUMBER(SEARCH("atax",$H44))),"Si instabilité: siège avec soutien latéral / accoudoir.",""),IF(OR(ISNUMBER(SEARCH("hémianops",$J44)),ISNUMBER(SEARCH("hemianops",$J44))),"Si champ visuel limité: dispositifs de vision angle mort (si compatible) + avis spécialisé.",""))</f>
        <v/>
      </c>
    </row>
    <row r="45">
      <c r="T45" s="2">
        <f>IF($E45="&lt; 6 mois","FIN_A",IF($G45="Oui","FIN_A",IF($I45="Oui",IFERROR(IF(OR(ISNUMBER(SEARCH("hémianops",$J45)),ISNUMBER(SEARCH("hemianops",$J45)),ISNUMBER(SEARCH("quadranops",$J45)),ISNUMBER(SEARCH("diplop",$J45)),ISNUMBER(SEARCH("nystag",$J45)),ISNUMBER(SEARCH("saccad",$J45))),"FIN_A","FIN_E"),"FIN_E"),IF($K45="Oui","FIN_C",IF($M45="Oui","FIN_A",IF($N45="Oui","FIN_A",IF($O45="Oui","FIN_A",IF($P45="Oui","FIN_A",IF($Q45="Oui","FIN_D",IF($R45="Non","FIN_E",IF($S45="Oui","FIN_A","FIN_D"))))))))))))</f>
        <v/>
      </c>
      <c r="X45" s="2">
        <f>TEXTJOIN(", ",TRUE,IF($I45="Oui",IF(ISNUMBER(SEARCH("lent",$J45)),"01.02",IF(ISNUMBER(SEARCH("lunett",$J45)),"01.01","01.06")),""),IF(OR(ISNUMBER(SEARCH("diplop",$J45)),ISNUMBER(SEARCH("couvre",$J45)),ISNUMBER(SEARCH("occlus",$J45))),"01.05",""),IF(OR(ISNUMBER(SEARCH("main droite",$H45)),ISNUMBER(SEARCH("faiblesse droite",$H45)),ISNUMBER(SEARCH("hémipar",$H45)),ISNUMBER(SEARCH("hemipar",$H45))),"78",""),IF(OR(ISNUMBER(SEARCH("main",$H45)),ISNUMBER(SEARCH("membre supérieur",$H45)),ISNUMBER(SEARCH("membre superieur",$H45))),"03.01",""),IF(OR(ISNUMBER(SEARCH("équilibre",$H45)),ISNUMBER(SEARCH("equilibre",$H45)),ISNUMBER(SEARCH("atax",$H45))),"43.03",""),IF(OR(ISNUMBER(SEARCH("champ visuel",$J45)),ISNUMBER(SEARCH("hémianops",$J45)),ISNUMBER(SEARCH("hemianops",$J45))),"42.05",""),IF(OR(ISNUMBER(SEARCH("faiblesse",$H45)),ISNUMBER(SEARCH("spastic",$H45))),"40.11",""),IF(OR(ISNUMBER(SEARCH("faiblesse",$H45)),ISNUMBER(SEARCH("spastic",$H45))),"35.02",""))</f>
        <v/>
      </c>
      <c r="Y45" s="2">
        <f>TEXTJOIN(" | ",TRUE,IF($I45="Oui","Vision: correction (lunettes/lentilles) selon bilan ophtalmo.",""),IF(OR(ISNUMBER(SEARCH("diplop",$J45)),ISNUMBER(SEARCH("occlus",$J45))),"Si diplopie: prisme/occlusion/couvre-œil si indiqué + avis oph.",""),IF(OR(ISNUMBER(SEARCH("main droite",$H45)),ISNUMBER(SEARCH("hémipar",$H45)),ISNUMBER(SEARCH("hemipar",$H45))),"Si déficit MS: privilégier véhicule à boîte automatique + aide au volant/commandes.",""),IF(OR(ISNUMBER(SEARCH("équilibre",$H45)),ISNUMBER(SEARCH("equilibre",$H45)),ISNUMBER(SEARCH("atax",$H45))),"Si instabilité: siège avec soutien latéral / accoudoir.",""),IF(OR(ISNUMBER(SEARCH("hémianops",$J45)),ISNUMBER(SEARCH("hemianops",$J45))),"Si champ visuel limité: dispositifs de vision angle mort (si compatible) + avis spécialisé.",""))</f>
        <v/>
      </c>
    </row>
    <row r="46">
      <c r="T46" s="2">
        <f>IF($E46="&lt; 6 mois","FIN_A",IF($G46="Oui","FIN_A",IF($I46="Oui",IFERROR(IF(OR(ISNUMBER(SEARCH("hémianops",$J46)),ISNUMBER(SEARCH("hemianops",$J46)),ISNUMBER(SEARCH("quadranops",$J46)),ISNUMBER(SEARCH("diplop",$J46)),ISNUMBER(SEARCH("nystag",$J46)),ISNUMBER(SEARCH("saccad",$J46))),"FIN_A","FIN_E"),"FIN_E"),IF($K46="Oui","FIN_C",IF($M46="Oui","FIN_A",IF($N46="Oui","FIN_A",IF($O46="Oui","FIN_A",IF($P46="Oui","FIN_A",IF($Q46="Oui","FIN_D",IF($R46="Non","FIN_E",IF($S46="Oui","FIN_A","FIN_D"))))))))))))</f>
        <v/>
      </c>
      <c r="X46" s="2">
        <f>TEXTJOIN(", ",TRUE,IF($I46="Oui",IF(ISNUMBER(SEARCH("lent",$J46)),"01.02",IF(ISNUMBER(SEARCH("lunett",$J46)),"01.01","01.06")),""),IF(OR(ISNUMBER(SEARCH("diplop",$J46)),ISNUMBER(SEARCH("couvre",$J46)),ISNUMBER(SEARCH("occlus",$J46))),"01.05",""),IF(OR(ISNUMBER(SEARCH("main droite",$H46)),ISNUMBER(SEARCH("faiblesse droite",$H46)),ISNUMBER(SEARCH("hémipar",$H46)),ISNUMBER(SEARCH("hemipar",$H46))),"78",""),IF(OR(ISNUMBER(SEARCH("main",$H46)),ISNUMBER(SEARCH("membre supérieur",$H46)),ISNUMBER(SEARCH("membre superieur",$H46))),"03.01",""),IF(OR(ISNUMBER(SEARCH("équilibre",$H46)),ISNUMBER(SEARCH("equilibre",$H46)),ISNUMBER(SEARCH("atax",$H46))),"43.03",""),IF(OR(ISNUMBER(SEARCH("champ visuel",$J46)),ISNUMBER(SEARCH("hémianops",$J46)),ISNUMBER(SEARCH("hemianops",$J46))),"42.05",""),IF(OR(ISNUMBER(SEARCH("faiblesse",$H46)),ISNUMBER(SEARCH("spastic",$H46))),"40.11",""),IF(OR(ISNUMBER(SEARCH("faiblesse",$H46)),ISNUMBER(SEARCH("spastic",$H46))),"35.02",""))</f>
        <v/>
      </c>
      <c r="Y46" s="2">
        <f>TEXTJOIN(" | ",TRUE,IF($I46="Oui","Vision: correction (lunettes/lentilles) selon bilan ophtalmo.",""),IF(OR(ISNUMBER(SEARCH("diplop",$J46)),ISNUMBER(SEARCH("occlus",$J46))),"Si diplopie: prisme/occlusion/couvre-œil si indiqué + avis oph.",""),IF(OR(ISNUMBER(SEARCH("main droite",$H46)),ISNUMBER(SEARCH("hémipar",$H46)),ISNUMBER(SEARCH("hemipar",$H46))),"Si déficit MS: privilégier véhicule à boîte automatique + aide au volant/commandes.",""),IF(OR(ISNUMBER(SEARCH("équilibre",$H46)),ISNUMBER(SEARCH("equilibre",$H46)),ISNUMBER(SEARCH("atax",$H46))),"Si instabilité: siège avec soutien latéral / accoudoir.",""),IF(OR(ISNUMBER(SEARCH("hémianops",$J46)),ISNUMBER(SEARCH("hemianops",$J46))),"Si champ visuel limité: dispositifs de vision angle mort (si compatible) + avis spécialisé.",""))</f>
        <v/>
      </c>
    </row>
    <row r="47">
      <c r="T47" s="2">
        <f>IF($E47="&lt; 6 mois","FIN_A",IF($G47="Oui","FIN_A",IF($I47="Oui",IFERROR(IF(OR(ISNUMBER(SEARCH("hémianops",$J47)),ISNUMBER(SEARCH("hemianops",$J47)),ISNUMBER(SEARCH("quadranops",$J47)),ISNUMBER(SEARCH("diplop",$J47)),ISNUMBER(SEARCH("nystag",$J47)),ISNUMBER(SEARCH("saccad",$J47))),"FIN_A","FIN_E"),"FIN_E"),IF($K47="Oui","FIN_C",IF($M47="Oui","FIN_A",IF($N47="Oui","FIN_A",IF($O47="Oui","FIN_A",IF($P47="Oui","FIN_A",IF($Q47="Oui","FIN_D",IF($R47="Non","FIN_E",IF($S47="Oui","FIN_A","FIN_D"))))))))))))</f>
        <v/>
      </c>
      <c r="X47" s="2">
        <f>TEXTJOIN(", ",TRUE,IF($I47="Oui",IF(ISNUMBER(SEARCH("lent",$J47)),"01.02",IF(ISNUMBER(SEARCH("lunett",$J47)),"01.01","01.06")),""),IF(OR(ISNUMBER(SEARCH("diplop",$J47)),ISNUMBER(SEARCH("couvre",$J47)),ISNUMBER(SEARCH("occlus",$J47))),"01.05",""),IF(OR(ISNUMBER(SEARCH("main droite",$H47)),ISNUMBER(SEARCH("faiblesse droite",$H47)),ISNUMBER(SEARCH("hémipar",$H47)),ISNUMBER(SEARCH("hemipar",$H47))),"78",""),IF(OR(ISNUMBER(SEARCH("main",$H47)),ISNUMBER(SEARCH("membre supérieur",$H47)),ISNUMBER(SEARCH("membre superieur",$H47))),"03.01",""),IF(OR(ISNUMBER(SEARCH("équilibre",$H47)),ISNUMBER(SEARCH("equilibre",$H47)),ISNUMBER(SEARCH("atax",$H47))),"43.03",""),IF(OR(ISNUMBER(SEARCH("champ visuel",$J47)),ISNUMBER(SEARCH("hémianops",$J47)),ISNUMBER(SEARCH("hemianops",$J47))),"42.05",""),IF(OR(ISNUMBER(SEARCH("faiblesse",$H47)),ISNUMBER(SEARCH("spastic",$H47))),"40.11",""),IF(OR(ISNUMBER(SEARCH("faiblesse",$H47)),ISNUMBER(SEARCH("spastic",$H47))),"35.02",""))</f>
        <v/>
      </c>
      <c r="Y47" s="2">
        <f>TEXTJOIN(" | ",TRUE,IF($I47="Oui","Vision: correction (lunettes/lentilles) selon bilan ophtalmo.",""),IF(OR(ISNUMBER(SEARCH("diplop",$J47)),ISNUMBER(SEARCH("occlus",$J47))),"Si diplopie: prisme/occlusion/couvre-œil si indiqué + avis oph.",""),IF(OR(ISNUMBER(SEARCH("main droite",$H47)),ISNUMBER(SEARCH("hémipar",$H47)),ISNUMBER(SEARCH("hemipar",$H47))),"Si déficit MS: privilégier véhicule à boîte automatique + aide au volant/commandes.",""),IF(OR(ISNUMBER(SEARCH("équilibre",$H47)),ISNUMBER(SEARCH("equilibre",$H47)),ISNUMBER(SEARCH("atax",$H47))),"Si instabilité: siège avec soutien latéral / accoudoir.",""),IF(OR(ISNUMBER(SEARCH("hémianops",$J47)),ISNUMBER(SEARCH("hemianops",$J47))),"Si champ visuel limité: dispositifs de vision angle mort (si compatible) + avis spécialisé.",""))</f>
        <v/>
      </c>
    </row>
    <row r="48">
      <c r="T48" s="2">
        <f>IF($E48="&lt; 6 mois","FIN_A",IF($G48="Oui","FIN_A",IF($I48="Oui",IFERROR(IF(OR(ISNUMBER(SEARCH("hémianops",$J48)),ISNUMBER(SEARCH("hemianops",$J48)),ISNUMBER(SEARCH("quadranops",$J48)),ISNUMBER(SEARCH("diplop",$J48)),ISNUMBER(SEARCH("nystag",$J48)),ISNUMBER(SEARCH("saccad",$J48))),"FIN_A","FIN_E"),"FIN_E"),IF($K48="Oui","FIN_C",IF($M48="Oui","FIN_A",IF($N48="Oui","FIN_A",IF($O48="Oui","FIN_A",IF($P48="Oui","FIN_A",IF($Q48="Oui","FIN_D",IF($R48="Non","FIN_E",IF($S48="Oui","FIN_A","FIN_D"))))))))))))</f>
        <v/>
      </c>
      <c r="X48" s="2">
        <f>TEXTJOIN(", ",TRUE,IF($I48="Oui",IF(ISNUMBER(SEARCH("lent",$J48)),"01.02",IF(ISNUMBER(SEARCH("lunett",$J48)),"01.01","01.06")),""),IF(OR(ISNUMBER(SEARCH("diplop",$J48)),ISNUMBER(SEARCH("couvre",$J48)),ISNUMBER(SEARCH("occlus",$J48))),"01.05",""),IF(OR(ISNUMBER(SEARCH("main droite",$H48)),ISNUMBER(SEARCH("faiblesse droite",$H48)),ISNUMBER(SEARCH("hémipar",$H48)),ISNUMBER(SEARCH("hemipar",$H48))),"78",""),IF(OR(ISNUMBER(SEARCH("main",$H48)),ISNUMBER(SEARCH("membre supérieur",$H48)),ISNUMBER(SEARCH("membre superieur",$H48))),"03.01",""),IF(OR(ISNUMBER(SEARCH("équilibre",$H48)),ISNUMBER(SEARCH("equilibre",$H48)),ISNUMBER(SEARCH("atax",$H48))),"43.03",""),IF(OR(ISNUMBER(SEARCH("champ visuel",$J48)),ISNUMBER(SEARCH("hémianops",$J48)),ISNUMBER(SEARCH("hemianops",$J48))),"42.05",""),IF(OR(ISNUMBER(SEARCH("faiblesse",$H48)),ISNUMBER(SEARCH("spastic",$H48))),"40.11",""),IF(OR(ISNUMBER(SEARCH("faiblesse",$H48)),ISNUMBER(SEARCH("spastic",$H48))),"35.02",""))</f>
        <v/>
      </c>
      <c r="Y48" s="2">
        <f>TEXTJOIN(" | ",TRUE,IF($I48="Oui","Vision: correction (lunettes/lentilles) selon bilan ophtalmo.",""),IF(OR(ISNUMBER(SEARCH("diplop",$J48)),ISNUMBER(SEARCH("occlus",$J48))),"Si diplopie: prisme/occlusion/couvre-œil si indiqué + avis oph.",""),IF(OR(ISNUMBER(SEARCH("main droite",$H48)),ISNUMBER(SEARCH("hémipar",$H48)),ISNUMBER(SEARCH("hemipar",$H48))),"Si déficit MS: privilégier véhicule à boîte automatique + aide au volant/commandes.",""),IF(OR(ISNUMBER(SEARCH("équilibre",$H48)),ISNUMBER(SEARCH("equilibre",$H48)),ISNUMBER(SEARCH("atax",$H48))),"Si instabilité: siège avec soutien latéral / accoudoir.",""),IF(OR(ISNUMBER(SEARCH("hémianops",$J48)),ISNUMBER(SEARCH("hemianops",$J48))),"Si champ visuel limité: dispositifs de vision angle mort (si compatible) + avis spécialisé.",""))</f>
        <v/>
      </c>
    </row>
    <row r="49">
      <c r="T49" s="2">
        <f>IF($E49="&lt; 6 mois","FIN_A",IF($G49="Oui","FIN_A",IF($I49="Oui",IFERROR(IF(OR(ISNUMBER(SEARCH("hémianops",$J49)),ISNUMBER(SEARCH("hemianops",$J49)),ISNUMBER(SEARCH("quadranops",$J49)),ISNUMBER(SEARCH("diplop",$J49)),ISNUMBER(SEARCH("nystag",$J49)),ISNUMBER(SEARCH("saccad",$J49))),"FIN_A","FIN_E"),"FIN_E"),IF($K49="Oui","FIN_C",IF($M49="Oui","FIN_A",IF($N49="Oui","FIN_A",IF($O49="Oui","FIN_A",IF($P49="Oui","FIN_A",IF($Q49="Oui","FIN_D",IF($R49="Non","FIN_E",IF($S49="Oui","FIN_A","FIN_D"))))))))))))</f>
        <v/>
      </c>
      <c r="X49" s="2">
        <f>TEXTJOIN(", ",TRUE,IF($I49="Oui",IF(ISNUMBER(SEARCH("lent",$J49)),"01.02",IF(ISNUMBER(SEARCH("lunett",$J49)),"01.01","01.06")),""),IF(OR(ISNUMBER(SEARCH("diplop",$J49)),ISNUMBER(SEARCH("couvre",$J49)),ISNUMBER(SEARCH("occlus",$J49))),"01.05",""),IF(OR(ISNUMBER(SEARCH("main droite",$H49)),ISNUMBER(SEARCH("faiblesse droite",$H49)),ISNUMBER(SEARCH("hémipar",$H49)),ISNUMBER(SEARCH("hemipar",$H49))),"78",""),IF(OR(ISNUMBER(SEARCH("main",$H49)),ISNUMBER(SEARCH("membre supérieur",$H49)),ISNUMBER(SEARCH("membre superieur",$H49))),"03.01",""),IF(OR(ISNUMBER(SEARCH("équilibre",$H49)),ISNUMBER(SEARCH("equilibre",$H49)),ISNUMBER(SEARCH("atax",$H49))),"43.03",""),IF(OR(ISNUMBER(SEARCH("champ visuel",$J49)),ISNUMBER(SEARCH("hémianops",$J49)),ISNUMBER(SEARCH("hemianops",$J49))),"42.05",""),IF(OR(ISNUMBER(SEARCH("faiblesse",$H49)),ISNUMBER(SEARCH("spastic",$H49))),"40.11",""),IF(OR(ISNUMBER(SEARCH("faiblesse",$H49)),ISNUMBER(SEARCH("spastic",$H49))),"35.02",""))</f>
        <v/>
      </c>
      <c r="Y49" s="2">
        <f>TEXTJOIN(" | ",TRUE,IF($I49="Oui","Vision: correction (lunettes/lentilles) selon bilan ophtalmo.",""),IF(OR(ISNUMBER(SEARCH("diplop",$J49)),ISNUMBER(SEARCH("occlus",$J49))),"Si diplopie: prisme/occlusion/couvre-œil si indiqué + avis oph.",""),IF(OR(ISNUMBER(SEARCH("main droite",$H49)),ISNUMBER(SEARCH("hémipar",$H49)),ISNUMBER(SEARCH("hemipar",$H49))),"Si déficit MS: privilégier véhicule à boîte automatique + aide au volant/commandes.",""),IF(OR(ISNUMBER(SEARCH("équilibre",$H49)),ISNUMBER(SEARCH("equilibre",$H49)),ISNUMBER(SEARCH("atax",$H49))),"Si instabilité: siège avec soutien latéral / accoudoir.",""),IF(OR(ISNUMBER(SEARCH("hémianops",$J49)),ISNUMBER(SEARCH("hemianops",$J49))),"Si champ visuel limité: dispositifs de vision angle mort (si compatible) + avis spécialisé.",""))</f>
        <v/>
      </c>
    </row>
    <row r="50">
      <c r="T50" s="2">
        <f>IF($E50="&lt; 6 mois","FIN_A",IF($G50="Oui","FIN_A",IF($I50="Oui",IFERROR(IF(OR(ISNUMBER(SEARCH("hémianops",$J50)),ISNUMBER(SEARCH("hemianops",$J50)),ISNUMBER(SEARCH("quadranops",$J50)),ISNUMBER(SEARCH("diplop",$J50)),ISNUMBER(SEARCH("nystag",$J50)),ISNUMBER(SEARCH("saccad",$J50))),"FIN_A","FIN_E"),"FIN_E"),IF($K50="Oui","FIN_C",IF($M50="Oui","FIN_A",IF($N50="Oui","FIN_A",IF($O50="Oui","FIN_A",IF($P50="Oui","FIN_A",IF($Q50="Oui","FIN_D",IF($R50="Non","FIN_E",IF($S50="Oui","FIN_A","FIN_D"))))))))))))</f>
        <v/>
      </c>
      <c r="X50" s="2">
        <f>TEXTJOIN(", ",TRUE,IF($I50="Oui",IF(ISNUMBER(SEARCH("lent",$J50)),"01.02",IF(ISNUMBER(SEARCH("lunett",$J50)),"01.01","01.06")),""),IF(OR(ISNUMBER(SEARCH("diplop",$J50)),ISNUMBER(SEARCH("couvre",$J50)),ISNUMBER(SEARCH("occlus",$J50))),"01.05",""),IF(OR(ISNUMBER(SEARCH("main droite",$H50)),ISNUMBER(SEARCH("faiblesse droite",$H50)),ISNUMBER(SEARCH("hémipar",$H50)),ISNUMBER(SEARCH("hemipar",$H50))),"78",""),IF(OR(ISNUMBER(SEARCH("main",$H50)),ISNUMBER(SEARCH("membre supérieur",$H50)),ISNUMBER(SEARCH("membre superieur",$H50))),"03.01",""),IF(OR(ISNUMBER(SEARCH("équilibre",$H50)),ISNUMBER(SEARCH("equilibre",$H50)),ISNUMBER(SEARCH("atax",$H50))),"43.03",""),IF(OR(ISNUMBER(SEARCH("champ visuel",$J50)),ISNUMBER(SEARCH("hémianops",$J50)),ISNUMBER(SEARCH("hemianops",$J50))),"42.05",""),IF(OR(ISNUMBER(SEARCH("faiblesse",$H50)),ISNUMBER(SEARCH("spastic",$H50))),"40.11",""),IF(OR(ISNUMBER(SEARCH("faiblesse",$H50)),ISNUMBER(SEARCH("spastic",$H50))),"35.02",""))</f>
        <v/>
      </c>
      <c r="Y50" s="2">
        <f>TEXTJOIN(" | ",TRUE,IF($I50="Oui","Vision: correction (lunettes/lentilles) selon bilan ophtalmo.",""),IF(OR(ISNUMBER(SEARCH("diplop",$J50)),ISNUMBER(SEARCH("occlus",$J50))),"Si diplopie: prisme/occlusion/couvre-œil si indiqué + avis oph.",""),IF(OR(ISNUMBER(SEARCH("main droite",$H50)),ISNUMBER(SEARCH("hémipar",$H50)),ISNUMBER(SEARCH("hemipar",$H50))),"Si déficit MS: privilégier véhicule à boîte automatique + aide au volant/commandes.",""),IF(OR(ISNUMBER(SEARCH("équilibre",$H50)),ISNUMBER(SEARCH("equilibre",$H50)),ISNUMBER(SEARCH("atax",$H50))),"Si instabilité: siège avec soutien latéral / accoudoir.",""),IF(OR(ISNUMBER(SEARCH("hémianops",$J50)),ISNUMBER(SEARCH("hemianops",$J50))),"Si champ visuel limité: dispositifs de vision angle mort (si compatible) + avis spécialisé.",""))</f>
        <v/>
      </c>
    </row>
    <row r="51">
      <c r="T51" s="2">
        <f>IF($E51="&lt; 6 mois","FIN_A",IF($G51="Oui","FIN_A",IF($I51="Oui",IFERROR(IF(OR(ISNUMBER(SEARCH("hémianops",$J51)),ISNUMBER(SEARCH("hemianops",$J51)),ISNUMBER(SEARCH("quadranops",$J51)),ISNUMBER(SEARCH("diplop",$J51)),ISNUMBER(SEARCH("nystag",$J51)),ISNUMBER(SEARCH("saccad",$J51))),"FIN_A","FIN_E"),"FIN_E"),IF($K51="Oui","FIN_C",IF($M51="Oui","FIN_A",IF($N51="Oui","FIN_A",IF($O51="Oui","FIN_A",IF($P51="Oui","FIN_A",IF($Q51="Oui","FIN_D",IF($R51="Non","FIN_E",IF($S51="Oui","FIN_A","FIN_D"))))))))))))</f>
        <v/>
      </c>
      <c r="X51" s="2">
        <f>TEXTJOIN(", ",TRUE,IF($I51="Oui",IF(ISNUMBER(SEARCH("lent",$J51)),"01.02",IF(ISNUMBER(SEARCH("lunett",$J51)),"01.01","01.06")),""),IF(OR(ISNUMBER(SEARCH("diplop",$J51)),ISNUMBER(SEARCH("couvre",$J51)),ISNUMBER(SEARCH("occlus",$J51))),"01.05",""),IF(OR(ISNUMBER(SEARCH("main droite",$H51)),ISNUMBER(SEARCH("faiblesse droite",$H51)),ISNUMBER(SEARCH("hémipar",$H51)),ISNUMBER(SEARCH("hemipar",$H51))),"78",""),IF(OR(ISNUMBER(SEARCH("main",$H51)),ISNUMBER(SEARCH("membre supérieur",$H51)),ISNUMBER(SEARCH("membre superieur",$H51))),"03.01",""),IF(OR(ISNUMBER(SEARCH("équilibre",$H51)),ISNUMBER(SEARCH("equilibre",$H51)),ISNUMBER(SEARCH("atax",$H51))),"43.03",""),IF(OR(ISNUMBER(SEARCH("champ visuel",$J51)),ISNUMBER(SEARCH("hémianops",$J51)),ISNUMBER(SEARCH("hemianops",$J51))),"42.05",""),IF(OR(ISNUMBER(SEARCH("faiblesse",$H51)),ISNUMBER(SEARCH("spastic",$H51))),"40.11",""),IF(OR(ISNUMBER(SEARCH("faiblesse",$H51)),ISNUMBER(SEARCH("spastic",$H51))),"35.02",""))</f>
        <v/>
      </c>
      <c r="Y51" s="2">
        <f>TEXTJOIN(" | ",TRUE,IF($I51="Oui","Vision: correction (lunettes/lentilles) selon bilan ophtalmo.",""),IF(OR(ISNUMBER(SEARCH("diplop",$J51)),ISNUMBER(SEARCH("occlus",$J51))),"Si diplopie: prisme/occlusion/couvre-œil si indiqué + avis oph.",""),IF(OR(ISNUMBER(SEARCH("main droite",$H51)),ISNUMBER(SEARCH("hémipar",$H51)),ISNUMBER(SEARCH("hemipar",$H51))),"Si déficit MS: privilégier véhicule à boîte automatique + aide au volant/commandes.",""),IF(OR(ISNUMBER(SEARCH("équilibre",$H51)),ISNUMBER(SEARCH("equilibre",$H51)),ISNUMBER(SEARCH("atax",$H51))),"Si instabilité: siège avec soutien latéral / accoudoir.",""),IF(OR(ISNUMBER(SEARCH("hémianops",$J51)),ISNUMBER(SEARCH("hemianops",$J51))),"Si champ visuel limité: dispositifs de vision angle mort (si compatible) + avis spécialisé.",""))</f>
        <v/>
      </c>
    </row>
    <row r="52">
      <c r="T52" s="2">
        <f>IF($E52="&lt; 6 mois","FIN_A",IF($G52="Oui","FIN_A",IF($I52="Oui",IFERROR(IF(OR(ISNUMBER(SEARCH("hémianops",$J52)),ISNUMBER(SEARCH("hemianops",$J52)),ISNUMBER(SEARCH("quadranops",$J52)),ISNUMBER(SEARCH("diplop",$J52)),ISNUMBER(SEARCH("nystag",$J52)),ISNUMBER(SEARCH("saccad",$J52))),"FIN_A","FIN_E"),"FIN_E"),IF($K52="Oui","FIN_C",IF($M52="Oui","FIN_A",IF($N52="Oui","FIN_A",IF($O52="Oui","FIN_A",IF($P52="Oui","FIN_A",IF($Q52="Oui","FIN_D",IF($R52="Non","FIN_E",IF($S52="Oui","FIN_A","FIN_D"))))))))))))</f>
        <v/>
      </c>
      <c r="X52" s="2">
        <f>TEXTJOIN(", ",TRUE,IF($I52="Oui",IF(ISNUMBER(SEARCH("lent",$J52)),"01.02",IF(ISNUMBER(SEARCH("lunett",$J52)),"01.01","01.06")),""),IF(OR(ISNUMBER(SEARCH("diplop",$J52)),ISNUMBER(SEARCH("couvre",$J52)),ISNUMBER(SEARCH("occlus",$J52))),"01.05",""),IF(OR(ISNUMBER(SEARCH("main droite",$H52)),ISNUMBER(SEARCH("faiblesse droite",$H52)),ISNUMBER(SEARCH("hémipar",$H52)),ISNUMBER(SEARCH("hemipar",$H52))),"78",""),IF(OR(ISNUMBER(SEARCH("main",$H52)),ISNUMBER(SEARCH("membre supérieur",$H52)),ISNUMBER(SEARCH("membre superieur",$H52))),"03.01",""),IF(OR(ISNUMBER(SEARCH("équilibre",$H52)),ISNUMBER(SEARCH("equilibre",$H52)),ISNUMBER(SEARCH("atax",$H52))),"43.03",""),IF(OR(ISNUMBER(SEARCH("champ visuel",$J52)),ISNUMBER(SEARCH("hémianops",$J52)),ISNUMBER(SEARCH("hemianops",$J52))),"42.05",""),IF(OR(ISNUMBER(SEARCH("faiblesse",$H52)),ISNUMBER(SEARCH("spastic",$H52))),"40.11",""),IF(OR(ISNUMBER(SEARCH("faiblesse",$H52)),ISNUMBER(SEARCH("spastic",$H52))),"35.02",""))</f>
        <v/>
      </c>
      <c r="Y52" s="2">
        <f>TEXTJOIN(" | ",TRUE,IF($I52="Oui","Vision: correction (lunettes/lentilles) selon bilan ophtalmo.",""),IF(OR(ISNUMBER(SEARCH("diplop",$J52)),ISNUMBER(SEARCH("occlus",$J52))),"Si diplopie: prisme/occlusion/couvre-œil si indiqué + avis oph.",""),IF(OR(ISNUMBER(SEARCH("main droite",$H52)),ISNUMBER(SEARCH("hémipar",$H52)),ISNUMBER(SEARCH("hemipar",$H52))),"Si déficit MS: privilégier véhicule à boîte automatique + aide au volant/commandes.",""),IF(OR(ISNUMBER(SEARCH("équilibre",$H52)),ISNUMBER(SEARCH("equilibre",$H52)),ISNUMBER(SEARCH("atax",$H52))),"Si instabilité: siège avec soutien latéral / accoudoir.",""),IF(OR(ISNUMBER(SEARCH("hémianops",$J52)),ISNUMBER(SEARCH("hemianops",$J52))),"Si champ visuel limité: dispositifs de vision angle mort (si compatible) + avis spécialisé.",""))</f>
        <v/>
      </c>
    </row>
    <row r="53">
      <c r="T53" s="2">
        <f>IF($E53="&lt; 6 mois","FIN_A",IF($G53="Oui","FIN_A",IF($I53="Oui",IFERROR(IF(OR(ISNUMBER(SEARCH("hémianops",$J53)),ISNUMBER(SEARCH("hemianops",$J53)),ISNUMBER(SEARCH("quadranops",$J53)),ISNUMBER(SEARCH("diplop",$J53)),ISNUMBER(SEARCH("nystag",$J53)),ISNUMBER(SEARCH("saccad",$J53))),"FIN_A","FIN_E"),"FIN_E"),IF($K53="Oui","FIN_C",IF($M53="Oui","FIN_A",IF($N53="Oui","FIN_A",IF($O53="Oui","FIN_A",IF($P53="Oui","FIN_A",IF($Q53="Oui","FIN_D",IF($R53="Non","FIN_E",IF($S53="Oui","FIN_A","FIN_D"))))))))))))</f>
        <v/>
      </c>
      <c r="X53" s="2">
        <f>TEXTJOIN(", ",TRUE,IF($I53="Oui",IF(ISNUMBER(SEARCH("lent",$J53)),"01.02",IF(ISNUMBER(SEARCH("lunett",$J53)),"01.01","01.06")),""),IF(OR(ISNUMBER(SEARCH("diplop",$J53)),ISNUMBER(SEARCH("couvre",$J53)),ISNUMBER(SEARCH("occlus",$J53))),"01.05",""),IF(OR(ISNUMBER(SEARCH("main droite",$H53)),ISNUMBER(SEARCH("faiblesse droite",$H53)),ISNUMBER(SEARCH("hémipar",$H53)),ISNUMBER(SEARCH("hemipar",$H53))),"78",""),IF(OR(ISNUMBER(SEARCH("main",$H53)),ISNUMBER(SEARCH("membre supérieur",$H53)),ISNUMBER(SEARCH("membre superieur",$H53))),"03.01",""),IF(OR(ISNUMBER(SEARCH("équilibre",$H53)),ISNUMBER(SEARCH("equilibre",$H53)),ISNUMBER(SEARCH("atax",$H53))),"43.03",""),IF(OR(ISNUMBER(SEARCH("champ visuel",$J53)),ISNUMBER(SEARCH("hémianops",$J53)),ISNUMBER(SEARCH("hemianops",$J53))),"42.05",""),IF(OR(ISNUMBER(SEARCH("faiblesse",$H53)),ISNUMBER(SEARCH("spastic",$H53))),"40.11",""),IF(OR(ISNUMBER(SEARCH("faiblesse",$H53)),ISNUMBER(SEARCH("spastic",$H53))),"35.02",""))</f>
        <v/>
      </c>
      <c r="Y53" s="2">
        <f>TEXTJOIN(" | ",TRUE,IF($I53="Oui","Vision: correction (lunettes/lentilles) selon bilan ophtalmo.",""),IF(OR(ISNUMBER(SEARCH("diplop",$J53)),ISNUMBER(SEARCH("occlus",$J53))),"Si diplopie: prisme/occlusion/couvre-œil si indiqué + avis oph.",""),IF(OR(ISNUMBER(SEARCH("main droite",$H53)),ISNUMBER(SEARCH("hémipar",$H53)),ISNUMBER(SEARCH("hemipar",$H53))),"Si déficit MS: privilégier véhicule à boîte automatique + aide au volant/commandes.",""),IF(OR(ISNUMBER(SEARCH("équilibre",$H53)),ISNUMBER(SEARCH("equilibre",$H53)),ISNUMBER(SEARCH("atax",$H53))),"Si instabilité: siège avec soutien latéral / accoudoir.",""),IF(OR(ISNUMBER(SEARCH("hémianops",$J53)),ISNUMBER(SEARCH("hemianops",$J53))),"Si champ visuel limité: dispositifs de vision angle mort (si compatible) + avis spécialisé.",""))</f>
        <v/>
      </c>
    </row>
    <row r="54">
      <c r="T54" s="2">
        <f>IF($E54="&lt; 6 mois","FIN_A",IF($G54="Oui","FIN_A",IF($I54="Oui",IFERROR(IF(OR(ISNUMBER(SEARCH("hémianops",$J54)),ISNUMBER(SEARCH("hemianops",$J54)),ISNUMBER(SEARCH("quadranops",$J54)),ISNUMBER(SEARCH("diplop",$J54)),ISNUMBER(SEARCH("nystag",$J54)),ISNUMBER(SEARCH("saccad",$J54))),"FIN_A","FIN_E"),"FIN_E"),IF($K54="Oui","FIN_C",IF($M54="Oui","FIN_A",IF($N54="Oui","FIN_A",IF($O54="Oui","FIN_A",IF($P54="Oui","FIN_A",IF($Q54="Oui","FIN_D",IF($R54="Non","FIN_E",IF($S54="Oui","FIN_A","FIN_D"))))))))))))</f>
        <v/>
      </c>
      <c r="X54" s="2">
        <f>TEXTJOIN(", ",TRUE,IF($I54="Oui",IF(ISNUMBER(SEARCH("lent",$J54)),"01.02",IF(ISNUMBER(SEARCH("lunett",$J54)),"01.01","01.06")),""),IF(OR(ISNUMBER(SEARCH("diplop",$J54)),ISNUMBER(SEARCH("couvre",$J54)),ISNUMBER(SEARCH("occlus",$J54))),"01.05",""),IF(OR(ISNUMBER(SEARCH("main droite",$H54)),ISNUMBER(SEARCH("faiblesse droite",$H54)),ISNUMBER(SEARCH("hémipar",$H54)),ISNUMBER(SEARCH("hemipar",$H54))),"78",""),IF(OR(ISNUMBER(SEARCH("main",$H54)),ISNUMBER(SEARCH("membre supérieur",$H54)),ISNUMBER(SEARCH("membre superieur",$H54))),"03.01",""),IF(OR(ISNUMBER(SEARCH("équilibre",$H54)),ISNUMBER(SEARCH("equilibre",$H54)),ISNUMBER(SEARCH("atax",$H54))),"43.03",""),IF(OR(ISNUMBER(SEARCH("champ visuel",$J54)),ISNUMBER(SEARCH("hémianops",$J54)),ISNUMBER(SEARCH("hemianops",$J54))),"42.05",""),IF(OR(ISNUMBER(SEARCH("faiblesse",$H54)),ISNUMBER(SEARCH("spastic",$H54))),"40.11",""),IF(OR(ISNUMBER(SEARCH("faiblesse",$H54)),ISNUMBER(SEARCH("spastic",$H54))),"35.02",""))</f>
        <v/>
      </c>
      <c r="Y54" s="2">
        <f>TEXTJOIN(" | ",TRUE,IF($I54="Oui","Vision: correction (lunettes/lentilles) selon bilan ophtalmo.",""),IF(OR(ISNUMBER(SEARCH("diplop",$J54)),ISNUMBER(SEARCH("occlus",$J54))),"Si diplopie: prisme/occlusion/couvre-œil si indiqué + avis oph.",""),IF(OR(ISNUMBER(SEARCH("main droite",$H54)),ISNUMBER(SEARCH("hémipar",$H54)),ISNUMBER(SEARCH("hemipar",$H54))),"Si déficit MS: privilégier véhicule à boîte automatique + aide au volant/commandes.",""),IF(OR(ISNUMBER(SEARCH("équilibre",$H54)),ISNUMBER(SEARCH("equilibre",$H54)),ISNUMBER(SEARCH("atax",$H54))),"Si instabilité: siège avec soutien latéral / accoudoir.",""),IF(OR(ISNUMBER(SEARCH("hémianops",$J54)),ISNUMBER(SEARCH("hemianops",$J54))),"Si champ visuel limité: dispositifs de vision angle mort (si compatible) + avis spécialisé.",""))</f>
        <v/>
      </c>
    </row>
    <row r="55">
      <c r="T55" s="2">
        <f>IF($E55="&lt; 6 mois","FIN_A",IF($G55="Oui","FIN_A",IF($I55="Oui",IFERROR(IF(OR(ISNUMBER(SEARCH("hémianops",$J55)),ISNUMBER(SEARCH("hemianops",$J55)),ISNUMBER(SEARCH("quadranops",$J55)),ISNUMBER(SEARCH("diplop",$J55)),ISNUMBER(SEARCH("nystag",$J55)),ISNUMBER(SEARCH("saccad",$J55))),"FIN_A","FIN_E"),"FIN_E"),IF($K55="Oui","FIN_C",IF($M55="Oui","FIN_A",IF($N55="Oui","FIN_A",IF($O55="Oui","FIN_A",IF($P55="Oui","FIN_A",IF($Q55="Oui","FIN_D",IF($R55="Non","FIN_E",IF($S55="Oui","FIN_A","FIN_D"))))))))))))</f>
        <v/>
      </c>
      <c r="X55" s="2">
        <f>TEXTJOIN(", ",TRUE,IF($I55="Oui",IF(ISNUMBER(SEARCH("lent",$J55)),"01.02",IF(ISNUMBER(SEARCH("lunett",$J55)),"01.01","01.06")),""),IF(OR(ISNUMBER(SEARCH("diplop",$J55)),ISNUMBER(SEARCH("couvre",$J55)),ISNUMBER(SEARCH("occlus",$J55))),"01.05",""),IF(OR(ISNUMBER(SEARCH("main droite",$H55)),ISNUMBER(SEARCH("faiblesse droite",$H55)),ISNUMBER(SEARCH("hémipar",$H55)),ISNUMBER(SEARCH("hemipar",$H55))),"78",""),IF(OR(ISNUMBER(SEARCH("main",$H55)),ISNUMBER(SEARCH("membre supérieur",$H55)),ISNUMBER(SEARCH("membre superieur",$H55))),"03.01",""),IF(OR(ISNUMBER(SEARCH("équilibre",$H55)),ISNUMBER(SEARCH("equilibre",$H55)),ISNUMBER(SEARCH("atax",$H55))),"43.03",""),IF(OR(ISNUMBER(SEARCH("champ visuel",$J55)),ISNUMBER(SEARCH("hémianops",$J55)),ISNUMBER(SEARCH("hemianops",$J55))),"42.05",""),IF(OR(ISNUMBER(SEARCH("faiblesse",$H55)),ISNUMBER(SEARCH("spastic",$H55))),"40.11",""),IF(OR(ISNUMBER(SEARCH("faiblesse",$H55)),ISNUMBER(SEARCH("spastic",$H55))),"35.02",""))</f>
        <v/>
      </c>
      <c r="Y55" s="2">
        <f>TEXTJOIN(" | ",TRUE,IF($I55="Oui","Vision: correction (lunettes/lentilles) selon bilan ophtalmo.",""),IF(OR(ISNUMBER(SEARCH("diplop",$J55)),ISNUMBER(SEARCH("occlus",$J55))),"Si diplopie: prisme/occlusion/couvre-œil si indiqué + avis oph.",""),IF(OR(ISNUMBER(SEARCH("main droite",$H55)),ISNUMBER(SEARCH("hémipar",$H55)),ISNUMBER(SEARCH("hemipar",$H55))),"Si déficit MS: privilégier véhicule à boîte automatique + aide au volant/commandes.",""),IF(OR(ISNUMBER(SEARCH("équilibre",$H55)),ISNUMBER(SEARCH("equilibre",$H55)),ISNUMBER(SEARCH("atax",$H55))),"Si instabilité: siège avec soutien latéral / accoudoir.",""),IF(OR(ISNUMBER(SEARCH("hémianops",$J55)),ISNUMBER(SEARCH("hemianops",$J55))),"Si champ visuel limité: dispositifs de vision angle mort (si compatible) + avis spécialisé.",""))</f>
        <v/>
      </c>
    </row>
    <row r="56">
      <c r="T56" s="2">
        <f>IF($E56="&lt; 6 mois","FIN_A",IF($G56="Oui","FIN_A",IF($I56="Oui",IFERROR(IF(OR(ISNUMBER(SEARCH("hémianops",$J56)),ISNUMBER(SEARCH("hemianops",$J56)),ISNUMBER(SEARCH("quadranops",$J56)),ISNUMBER(SEARCH("diplop",$J56)),ISNUMBER(SEARCH("nystag",$J56)),ISNUMBER(SEARCH("saccad",$J56))),"FIN_A","FIN_E"),"FIN_E"),IF($K56="Oui","FIN_C",IF($M56="Oui","FIN_A",IF($N56="Oui","FIN_A",IF($O56="Oui","FIN_A",IF($P56="Oui","FIN_A",IF($Q56="Oui","FIN_D",IF($R56="Non","FIN_E",IF($S56="Oui","FIN_A","FIN_D"))))))))))))</f>
        <v/>
      </c>
      <c r="X56" s="2">
        <f>TEXTJOIN(", ",TRUE,IF($I56="Oui",IF(ISNUMBER(SEARCH("lent",$J56)),"01.02",IF(ISNUMBER(SEARCH("lunett",$J56)),"01.01","01.06")),""),IF(OR(ISNUMBER(SEARCH("diplop",$J56)),ISNUMBER(SEARCH("couvre",$J56)),ISNUMBER(SEARCH("occlus",$J56))),"01.05",""),IF(OR(ISNUMBER(SEARCH("main droite",$H56)),ISNUMBER(SEARCH("faiblesse droite",$H56)),ISNUMBER(SEARCH("hémipar",$H56)),ISNUMBER(SEARCH("hemipar",$H56))),"78",""),IF(OR(ISNUMBER(SEARCH("main",$H56)),ISNUMBER(SEARCH("membre supérieur",$H56)),ISNUMBER(SEARCH("membre superieur",$H56))),"03.01",""),IF(OR(ISNUMBER(SEARCH("équilibre",$H56)),ISNUMBER(SEARCH("equilibre",$H56)),ISNUMBER(SEARCH("atax",$H56))),"43.03",""),IF(OR(ISNUMBER(SEARCH("champ visuel",$J56)),ISNUMBER(SEARCH("hémianops",$J56)),ISNUMBER(SEARCH("hemianops",$J56))),"42.05",""),IF(OR(ISNUMBER(SEARCH("faiblesse",$H56)),ISNUMBER(SEARCH("spastic",$H56))),"40.11",""),IF(OR(ISNUMBER(SEARCH("faiblesse",$H56)),ISNUMBER(SEARCH("spastic",$H56))),"35.02",""))</f>
        <v/>
      </c>
      <c r="Y56" s="2">
        <f>TEXTJOIN(" | ",TRUE,IF($I56="Oui","Vision: correction (lunettes/lentilles) selon bilan ophtalmo.",""),IF(OR(ISNUMBER(SEARCH("diplop",$J56)),ISNUMBER(SEARCH("occlus",$J56))),"Si diplopie: prisme/occlusion/couvre-œil si indiqué + avis oph.",""),IF(OR(ISNUMBER(SEARCH("main droite",$H56)),ISNUMBER(SEARCH("hémipar",$H56)),ISNUMBER(SEARCH("hemipar",$H56))),"Si déficit MS: privilégier véhicule à boîte automatique + aide au volant/commandes.",""),IF(OR(ISNUMBER(SEARCH("équilibre",$H56)),ISNUMBER(SEARCH("equilibre",$H56)),ISNUMBER(SEARCH("atax",$H56))),"Si instabilité: siège avec soutien latéral / accoudoir.",""),IF(OR(ISNUMBER(SEARCH("hémianops",$J56)),ISNUMBER(SEARCH("hemianops",$J56))),"Si champ visuel limité: dispositifs de vision angle mort (si compatible) + avis spécialisé.",""))</f>
        <v/>
      </c>
    </row>
    <row r="57">
      <c r="T57" s="2">
        <f>IF($E57="&lt; 6 mois","FIN_A",IF($G57="Oui","FIN_A",IF($I57="Oui",IFERROR(IF(OR(ISNUMBER(SEARCH("hémianops",$J57)),ISNUMBER(SEARCH("hemianops",$J57)),ISNUMBER(SEARCH("quadranops",$J57)),ISNUMBER(SEARCH("diplop",$J57)),ISNUMBER(SEARCH("nystag",$J57)),ISNUMBER(SEARCH("saccad",$J57))),"FIN_A","FIN_E"),"FIN_E"),IF($K57="Oui","FIN_C",IF($M57="Oui","FIN_A",IF($N57="Oui","FIN_A",IF($O57="Oui","FIN_A",IF($P57="Oui","FIN_A",IF($Q57="Oui","FIN_D",IF($R57="Non","FIN_E",IF($S57="Oui","FIN_A","FIN_D"))))))))))))</f>
        <v/>
      </c>
      <c r="X57" s="2">
        <f>TEXTJOIN(", ",TRUE,IF($I57="Oui",IF(ISNUMBER(SEARCH("lent",$J57)),"01.02",IF(ISNUMBER(SEARCH("lunett",$J57)),"01.01","01.06")),""),IF(OR(ISNUMBER(SEARCH("diplop",$J57)),ISNUMBER(SEARCH("couvre",$J57)),ISNUMBER(SEARCH("occlus",$J57))),"01.05",""),IF(OR(ISNUMBER(SEARCH("main droite",$H57)),ISNUMBER(SEARCH("faiblesse droite",$H57)),ISNUMBER(SEARCH("hémipar",$H57)),ISNUMBER(SEARCH("hemipar",$H57))),"78",""),IF(OR(ISNUMBER(SEARCH("main",$H57)),ISNUMBER(SEARCH("membre supérieur",$H57)),ISNUMBER(SEARCH("membre superieur",$H57))),"03.01",""),IF(OR(ISNUMBER(SEARCH("équilibre",$H57)),ISNUMBER(SEARCH("equilibre",$H57)),ISNUMBER(SEARCH("atax",$H57))),"43.03",""),IF(OR(ISNUMBER(SEARCH("champ visuel",$J57)),ISNUMBER(SEARCH("hémianops",$J57)),ISNUMBER(SEARCH("hemianops",$J57))),"42.05",""),IF(OR(ISNUMBER(SEARCH("faiblesse",$H57)),ISNUMBER(SEARCH("spastic",$H57))),"40.11",""),IF(OR(ISNUMBER(SEARCH("faiblesse",$H57)),ISNUMBER(SEARCH("spastic",$H57))),"35.02",""))</f>
        <v/>
      </c>
      <c r="Y57" s="2">
        <f>TEXTJOIN(" | ",TRUE,IF($I57="Oui","Vision: correction (lunettes/lentilles) selon bilan ophtalmo.",""),IF(OR(ISNUMBER(SEARCH("diplop",$J57)),ISNUMBER(SEARCH("occlus",$J57))),"Si diplopie: prisme/occlusion/couvre-œil si indiqué + avis oph.",""),IF(OR(ISNUMBER(SEARCH("main droite",$H57)),ISNUMBER(SEARCH("hémipar",$H57)),ISNUMBER(SEARCH("hemipar",$H57))),"Si déficit MS: privilégier véhicule à boîte automatique + aide au volant/commandes.",""),IF(OR(ISNUMBER(SEARCH("équilibre",$H57)),ISNUMBER(SEARCH("equilibre",$H57)),ISNUMBER(SEARCH("atax",$H57))),"Si instabilité: siège avec soutien latéral / accoudoir.",""),IF(OR(ISNUMBER(SEARCH("hémianops",$J57)),ISNUMBER(SEARCH("hemianops",$J57))),"Si champ visuel limité: dispositifs de vision angle mort (si compatible) + avis spécialisé.",""))</f>
        <v/>
      </c>
    </row>
    <row r="58">
      <c r="T58" s="2">
        <f>IF($E58="&lt; 6 mois","FIN_A",IF($G58="Oui","FIN_A",IF($I58="Oui",IFERROR(IF(OR(ISNUMBER(SEARCH("hémianops",$J58)),ISNUMBER(SEARCH("hemianops",$J58)),ISNUMBER(SEARCH("quadranops",$J58)),ISNUMBER(SEARCH("diplop",$J58)),ISNUMBER(SEARCH("nystag",$J58)),ISNUMBER(SEARCH("saccad",$J58))),"FIN_A","FIN_E"),"FIN_E"),IF($K58="Oui","FIN_C",IF($M58="Oui","FIN_A",IF($N58="Oui","FIN_A",IF($O58="Oui","FIN_A",IF($P58="Oui","FIN_A",IF($Q58="Oui","FIN_D",IF($R58="Non","FIN_E",IF($S58="Oui","FIN_A","FIN_D"))))))))))))</f>
        <v/>
      </c>
      <c r="X58" s="2">
        <f>TEXTJOIN(", ",TRUE,IF($I58="Oui",IF(ISNUMBER(SEARCH("lent",$J58)),"01.02",IF(ISNUMBER(SEARCH("lunett",$J58)),"01.01","01.06")),""),IF(OR(ISNUMBER(SEARCH("diplop",$J58)),ISNUMBER(SEARCH("couvre",$J58)),ISNUMBER(SEARCH("occlus",$J58))),"01.05",""),IF(OR(ISNUMBER(SEARCH("main droite",$H58)),ISNUMBER(SEARCH("faiblesse droite",$H58)),ISNUMBER(SEARCH("hémipar",$H58)),ISNUMBER(SEARCH("hemipar",$H58))),"78",""),IF(OR(ISNUMBER(SEARCH("main",$H58)),ISNUMBER(SEARCH("membre supérieur",$H58)),ISNUMBER(SEARCH("membre superieur",$H58))),"03.01",""),IF(OR(ISNUMBER(SEARCH("équilibre",$H58)),ISNUMBER(SEARCH("equilibre",$H58)),ISNUMBER(SEARCH("atax",$H58))),"43.03",""),IF(OR(ISNUMBER(SEARCH("champ visuel",$J58)),ISNUMBER(SEARCH("hémianops",$J58)),ISNUMBER(SEARCH("hemianops",$J58))),"42.05",""),IF(OR(ISNUMBER(SEARCH("faiblesse",$H58)),ISNUMBER(SEARCH("spastic",$H58))),"40.11",""),IF(OR(ISNUMBER(SEARCH("faiblesse",$H58)),ISNUMBER(SEARCH("spastic",$H58))),"35.02",""))</f>
        <v/>
      </c>
      <c r="Y58" s="2">
        <f>TEXTJOIN(" | ",TRUE,IF($I58="Oui","Vision: correction (lunettes/lentilles) selon bilan ophtalmo.",""),IF(OR(ISNUMBER(SEARCH("diplop",$J58)),ISNUMBER(SEARCH("occlus",$J58))),"Si diplopie: prisme/occlusion/couvre-œil si indiqué + avis oph.",""),IF(OR(ISNUMBER(SEARCH("main droite",$H58)),ISNUMBER(SEARCH("hémipar",$H58)),ISNUMBER(SEARCH("hemipar",$H58))),"Si déficit MS: privilégier véhicule à boîte automatique + aide au volant/commandes.",""),IF(OR(ISNUMBER(SEARCH("équilibre",$H58)),ISNUMBER(SEARCH("equilibre",$H58)),ISNUMBER(SEARCH("atax",$H58))),"Si instabilité: siège avec soutien latéral / accoudoir.",""),IF(OR(ISNUMBER(SEARCH("hémianops",$J58)),ISNUMBER(SEARCH("hemianops",$J58))),"Si champ visuel limité: dispositifs de vision angle mort (si compatible) + avis spécialisé.",""))</f>
        <v/>
      </c>
    </row>
    <row r="59">
      <c r="T59" s="2">
        <f>IF($E59="&lt; 6 mois","FIN_A",IF($G59="Oui","FIN_A",IF($I59="Oui",IFERROR(IF(OR(ISNUMBER(SEARCH("hémianops",$J59)),ISNUMBER(SEARCH("hemianops",$J59)),ISNUMBER(SEARCH("quadranops",$J59)),ISNUMBER(SEARCH("diplop",$J59)),ISNUMBER(SEARCH("nystag",$J59)),ISNUMBER(SEARCH("saccad",$J59))),"FIN_A","FIN_E"),"FIN_E"),IF($K59="Oui","FIN_C",IF($M59="Oui","FIN_A",IF($N59="Oui","FIN_A",IF($O59="Oui","FIN_A",IF($P59="Oui","FIN_A",IF($Q59="Oui","FIN_D",IF($R59="Non","FIN_E",IF($S59="Oui","FIN_A","FIN_D"))))))))))))</f>
        <v/>
      </c>
      <c r="X59" s="2">
        <f>TEXTJOIN(", ",TRUE,IF($I59="Oui",IF(ISNUMBER(SEARCH("lent",$J59)),"01.02",IF(ISNUMBER(SEARCH("lunett",$J59)),"01.01","01.06")),""),IF(OR(ISNUMBER(SEARCH("diplop",$J59)),ISNUMBER(SEARCH("couvre",$J59)),ISNUMBER(SEARCH("occlus",$J59))),"01.05",""),IF(OR(ISNUMBER(SEARCH("main droite",$H59)),ISNUMBER(SEARCH("faiblesse droite",$H59)),ISNUMBER(SEARCH("hémipar",$H59)),ISNUMBER(SEARCH("hemipar",$H59))),"78",""),IF(OR(ISNUMBER(SEARCH("main",$H59)),ISNUMBER(SEARCH("membre supérieur",$H59)),ISNUMBER(SEARCH("membre superieur",$H59))),"03.01",""),IF(OR(ISNUMBER(SEARCH("équilibre",$H59)),ISNUMBER(SEARCH("equilibre",$H59)),ISNUMBER(SEARCH("atax",$H59))),"43.03",""),IF(OR(ISNUMBER(SEARCH("champ visuel",$J59)),ISNUMBER(SEARCH("hémianops",$J59)),ISNUMBER(SEARCH("hemianops",$J59))),"42.05",""),IF(OR(ISNUMBER(SEARCH("faiblesse",$H59)),ISNUMBER(SEARCH("spastic",$H59))),"40.11",""),IF(OR(ISNUMBER(SEARCH("faiblesse",$H59)),ISNUMBER(SEARCH("spastic",$H59))),"35.02",""))</f>
        <v/>
      </c>
      <c r="Y59" s="2">
        <f>TEXTJOIN(" | ",TRUE,IF($I59="Oui","Vision: correction (lunettes/lentilles) selon bilan ophtalmo.",""),IF(OR(ISNUMBER(SEARCH("diplop",$J59)),ISNUMBER(SEARCH("occlus",$J59))),"Si diplopie: prisme/occlusion/couvre-œil si indiqué + avis oph.",""),IF(OR(ISNUMBER(SEARCH("main droite",$H59)),ISNUMBER(SEARCH("hémipar",$H59)),ISNUMBER(SEARCH("hemipar",$H59))),"Si déficit MS: privilégier véhicule à boîte automatique + aide au volant/commandes.",""),IF(OR(ISNUMBER(SEARCH("équilibre",$H59)),ISNUMBER(SEARCH("equilibre",$H59)),ISNUMBER(SEARCH("atax",$H59))),"Si instabilité: siège avec soutien latéral / accoudoir.",""),IF(OR(ISNUMBER(SEARCH("hémianops",$J59)),ISNUMBER(SEARCH("hemianops",$J59))),"Si champ visuel limité: dispositifs de vision angle mort (si compatible) + avis spécialisé.",""))</f>
        <v/>
      </c>
    </row>
    <row r="60">
      <c r="T60" s="2">
        <f>IF($E60="&lt; 6 mois","FIN_A",IF($G60="Oui","FIN_A",IF($I60="Oui",IFERROR(IF(OR(ISNUMBER(SEARCH("hémianops",$J60)),ISNUMBER(SEARCH("hemianops",$J60)),ISNUMBER(SEARCH("quadranops",$J60)),ISNUMBER(SEARCH("diplop",$J60)),ISNUMBER(SEARCH("nystag",$J60)),ISNUMBER(SEARCH("saccad",$J60))),"FIN_A","FIN_E"),"FIN_E"),IF($K60="Oui","FIN_C",IF($M60="Oui","FIN_A",IF($N60="Oui","FIN_A",IF($O60="Oui","FIN_A",IF($P60="Oui","FIN_A",IF($Q60="Oui","FIN_D",IF($R60="Non","FIN_E",IF($S60="Oui","FIN_A","FIN_D"))))))))))))</f>
        <v/>
      </c>
      <c r="X60" s="2">
        <f>TEXTJOIN(", ",TRUE,IF($I60="Oui",IF(ISNUMBER(SEARCH("lent",$J60)),"01.02",IF(ISNUMBER(SEARCH("lunett",$J60)),"01.01","01.06")),""),IF(OR(ISNUMBER(SEARCH("diplop",$J60)),ISNUMBER(SEARCH("couvre",$J60)),ISNUMBER(SEARCH("occlus",$J60))),"01.05",""),IF(OR(ISNUMBER(SEARCH("main droite",$H60)),ISNUMBER(SEARCH("faiblesse droite",$H60)),ISNUMBER(SEARCH("hémipar",$H60)),ISNUMBER(SEARCH("hemipar",$H60))),"78",""),IF(OR(ISNUMBER(SEARCH("main",$H60)),ISNUMBER(SEARCH("membre supérieur",$H60)),ISNUMBER(SEARCH("membre superieur",$H60))),"03.01",""),IF(OR(ISNUMBER(SEARCH("équilibre",$H60)),ISNUMBER(SEARCH("equilibre",$H60)),ISNUMBER(SEARCH("atax",$H60))),"43.03",""),IF(OR(ISNUMBER(SEARCH("champ visuel",$J60)),ISNUMBER(SEARCH("hémianops",$J60)),ISNUMBER(SEARCH("hemianops",$J60))),"42.05",""),IF(OR(ISNUMBER(SEARCH("faiblesse",$H60)),ISNUMBER(SEARCH("spastic",$H60))),"40.11",""),IF(OR(ISNUMBER(SEARCH("faiblesse",$H60)),ISNUMBER(SEARCH("spastic",$H60))),"35.02",""))</f>
        <v/>
      </c>
      <c r="Y60" s="2">
        <f>TEXTJOIN(" | ",TRUE,IF($I60="Oui","Vision: correction (lunettes/lentilles) selon bilan ophtalmo.",""),IF(OR(ISNUMBER(SEARCH("diplop",$J60)),ISNUMBER(SEARCH("occlus",$J60))),"Si diplopie: prisme/occlusion/couvre-œil si indiqué + avis oph.",""),IF(OR(ISNUMBER(SEARCH("main droite",$H60)),ISNUMBER(SEARCH("hémipar",$H60)),ISNUMBER(SEARCH("hemipar",$H60))),"Si déficit MS: privilégier véhicule à boîte automatique + aide au volant/commandes.",""),IF(OR(ISNUMBER(SEARCH("équilibre",$H60)),ISNUMBER(SEARCH("equilibre",$H60)),ISNUMBER(SEARCH("atax",$H60))),"Si instabilité: siège avec soutien latéral / accoudoir.",""),IF(OR(ISNUMBER(SEARCH("hémianops",$J60)),ISNUMBER(SEARCH("hemianops",$J60))),"Si champ visuel limité: dispositifs de vision angle mort (si compatible) + avis spécialisé.",""))</f>
        <v/>
      </c>
    </row>
    <row r="61">
      <c r="T61" s="2">
        <f>IF($E61="&lt; 6 mois","FIN_A",IF($G61="Oui","FIN_A",IF($I61="Oui",IFERROR(IF(OR(ISNUMBER(SEARCH("hémianops",$J61)),ISNUMBER(SEARCH("hemianops",$J61)),ISNUMBER(SEARCH("quadranops",$J61)),ISNUMBER(SEARCH("diplop",$J61)),ISNUMBER(SEARCH("nystag",$J61)),ISNUMBER(SEARCH("saccad",$J61))),"FIN_A","FIN_E"),"FIN_E"),IF($K61="Oui","FIN_C",IF($M61="Oui","FIN_A",IF($N61="Oui","FIN_A",IF($O61="Oui","FIN_A",IF($P61="Oui","FIN_A",IF($Q61="Oui","FIN_D",IF($R61="Non","FIN_E",IF($S61="Oui","FIN_A","FIN_D"))))))))))))</f>
        <v/>
      </c>
      <c r="X61" s="2">
        <f>TEXTJOIN(", ",TRUE,IF($I61="Oui",IF(ISNUMBER(SEARCH("lent",$J61)),"01.02",IF(ISNUMBER(SEARCH("lunett",$J61)),"01.01","01.06")),""),IF(OR(ISNUMBER(SEARCH("diplop",$J61)),ISNUMBER(SEARCH("couvre",$J61)),ISNUMBER(SEARCH("occlus",$J61))),"01.05",""),IF(OR(ISNUMBER(SEARCH("main droite",$H61)),ISNUMBER(SEARCH("faiblesse droite",$H61)),ISNUMBER(SEARCH("hémipar",$H61)),ISNUMBER(SEARCH("hemipar",$H61))),"78",""),IF(OR(ISNUMBER(SEARCH("main",$H61)),ISNUMBER(SEARCH("membre supérieur",$H61)),ISNUMBER(SEARCH("membre superieur",$H61))),"03.01",""),IF(OR(ISNUMBER(SEARCH("équilibre",$H61)),ISNUMBER(SEARCH("equilibre",$H61)),ISNUMBER(SEARCH("atax",$H61))),"43.03",""),IF(OR(ISNUMBER(SEARCH("champ visuel",$J61)),ISNUMBER(SEARCH("hémianops",$J61)),ISNUMBER(SEARCH("hemianops",$J61))),"42.05",""),IF(OR(ISNUMBER(SEARCH("faiblesse",$H61)),ISNUMBER(SEARCH("spastic",$H61))),"40.11",""),IF(OR(ISNUMBER(SEARCH("faiblesse",$H61)),ISNUMBER(SEARCH("spastic",$H61))),"35.02",""))</f>
        <v/>
      </c>
      <c r="Y61" s="2">
        <f>TEXTJOIN(" | ",TRUE,IF($I61="Oui","Vision: correction (lunettes/lentilles) selon bilan ophtalmo.",""),IF(OR(ISNUMBER(SEARCH("diplop",$J61)),ISNUMBER(SEARCH("occlus",$J61))),"Si diplopie: prisme/occlusion/couvre-œil si indiqué + avis oph.",""),IF(OR(ISNUMBER(SEARCH("main droite",$H61)),ISNUMBER(SEARCH("hémipar",$H61)),ISNUMBER(SEARCH("hemipar",$H61))),"Si déficit MS: privilégier véhicule à boîte automatique + aide au volant/commandes.",""),IF(OR(ISNUMBER(SEARCH("équilibre",$H61)),ISNUMBER(SEARCH("equilibre",$H61)),ISNUMBER(SEARCH("atax",$H61))),"Si instabilité: siège avec soutien latéral / accoudoir.",""),IF(OR(ISNUMBER(SEARCH("hémianops",$J61)),ISNUMBER(SEARCH("hemianops",$J61))),"Si champ visuel limité: dispositifs de vision angle mort (si compatible) + avis spécialisé.",""))</f>
        <v/>
      </c>
    </row>
    <row r="62">
      <c r="T62" s="2">
        <f>IF($E62="&lt; 6 mois","FIN_A",IF($G62="Oui","FIN_A",IF($I62="Oui",IFERROR(IF(OR(ISNUMBER(SEARCH("hémianops",$J62)),ISNUMBER(SEARCH("hemianops",$J62)),ISNUMBER(SEARCH("quadranops",$J62)),ISNUMBER(SEARCH("diplop",$J62)),ISNUMBER(SEARCH("nystag",$J62)),ISNUMBER(SEARCH("saccad",$J62))),"FIN_A","FIN_E"),"FIN_E"),IF($K62="Oui","FIN_C",IF($M62="Oui","FIN_A",IF($N62="Oui","FIN_A",IF($O62="Oui","FIN_A",IF($P62="Oui","FIN_A",IF($Q62="Oui","FIN_D",IF($R62="Non","FIN_E",IF($S62="Oui","FIN_A","FIN_D"))))))))))))</f>
        <v/>
      </c>
      <c r="X62" s="2">
        <f>TEXTJOIN(", ",TRUE,IF($I62="Oui",IF(ISNUMBER(SEARCH("lent",$J62)),"01.02",IF(ISNUMBER(SEARCH("lunett",$J62)),"01.01","01.06")),""),IF(OR(ISNUMBER(SEARCH("diplop",$J62)),ISNUMBER(SEARCH("couvre",$J62)),ISNUMBER(SEARCH("occlus",$J62))),"01.05",""),IF(OR(ISNUMBER(SEARCH("main droite",$H62)),ISNUMBER(SEARCH("faiblesse droite",$H62)),ISNUMBER(SEARCH("hémipar",$H62)),ISNUMBER(SEARCH("hemipar",$H62))),"78",""),IF(OR(ISNUMBER(SEARCH("main",$H62)),ISNUMBER(SEARCH("membre supérieur",$H62)),ISNUMBER(SEARCH("membre superieur",$H62))),"03.01",""),IF(OR(ISNUMBER(SEARCH("équilibre",$H62)),ISNUMBER(SEARCH("equilibre",$H62)),ISNUMBER(SEARCH("atax",$H62))),"43.03",""),IF(OR(ISNUMBER(SEARCH("champ visuel",$J62)),ISNUMBER(SEARCH("hémianops",$J62)),ISNUMBER(SEARCH("hemianops",$J62))),"42.05",""),IF(OR(ISNUMBER(SEARCH("faiblesse",$H62)),ISNUMBER(SEARCH("spastic",$H62))),"40.11",""),IF(OR(ISNUMBER(SEARCH("faiblesse",$H62)),ISNUMBER(SEARCH("spastic",$H62))),"35.02",""))</f>
        <v/>
      </c>
      <c r="Y62" s="2">
        <f>TEXTJOIN(" | ",TRUE,IF($I62="Oui","Vision: correction (lunettes/lentilles) selon bilan ophtalmo.",""),IF(OR(ISNUMBER(SEARCH("diplop",$J62)),ISNUMBER(SEARCH("occlus",$J62))),"Si diplopie: prisme/occlusion/couvre-œil si indiqué + avis oph.",""),IF(OR(ISNUMBER(SEARCH("main droite",$H62)),ISNUMBER(SEARCH("hémipar",$H62)),ISNUMBER(SEARCH("hemipar",$H62))),"Si déficit MS: privilégier véhicule à boîte automatique + aide au volant/commandes.",""),IF(OR(ISNUMBER(SEARCH("équilibre",$H62)),ISNUMBER(SEARCH("equilibre",$H62)),ISNUMBER(SEARCH("atax",$H62))),"Si instabilité: siège avec soutien latéral / accoudoir.",""),IF(OR(ISNUMBER(SEARCH("hémianops",$J62)),ISNUMBER(SEARCH("hemianops",$J62))),"Si champ visuel limité: dispositifs de vision angle mort (si compatible) + avis spécialisé.",""))</f>
        <v/>
      </c>
    </row>
    <row r="63">
      <c r="T63" s="2">
        <f>IF($E63="&lt; 6 mois","FIN_A",IF($G63="Oui","FIN_A",IF($I63="Oui",IFERROR(IF(OR(ISNUMBER(SEARCH("hémianops",$J63)),ISNUMBER(SEARCH("hemianops",$J63)),ISNUMBER(SEARCH("quadranops",$J63)),ISNUMBER(SEARCH("diplop",$J63)),ISNUMBER(SEARCH("nystag",$J63)),ISNUMBER(SEARCH("saccad",$J63))),"FIN_A","FIN_E"),"FIN_E"),IF($K63="Oui","FIN_C",IF($M63="Oui","FIN_A",IF($N63="Oui","FIN_A",IF($O63="Oui","FIN_A",IF($P63="Oui","FIN_A",IF($Q63="Oui","FIN_D",IF($R63="Non","FIN_E",IF($S63="Oui","FIN_A","FIN_D"))))))))))))</f>
        <v/>
      </c>
      <c r="X63" s="2">
        <f>TEXTJOIN(", ",TRUE,IF($I63="Oui",IF(ISNUMBER(SEARCH("lent",$J63)),"01.02",IF(ISNUMBER(SEARCH("lunett",$J63)),"01.01","01.06")),""),IF(OR(ISNUMBER(SEARCH("diplop",$J63)),ISNUMBER(SEARCH("couvre",$J63)),ISNUMBER(SEARCH("occlus",$J63))),"01.05",""),IF(OR(ISNUMBER(SEARCH("main droite",$H63)),ISNUMBER(SEARCH("faiblesse droite",$H63)),ISNUMBER(SEARCH("hémipar",$H63)),ISNUMBER(SEARCH("hemipar",$H63))),"78",""),IF(OR(ISNUMBER(SEARCH("main",$H63)),ISNUMBER(SEARCH("membre supérieur",$H63)),ISNUMBER(SEARCH("membre superieur",$H63))),"03.01",""),IF(OR(ISNUMBER(SEARCH("équilibre",$H63)),ISNUMBER(SEARCH("equilibre",$H63)),ISNUMBER(SEARCH("atax",$H63))),"43.03",""),IF(OR(ISNUMBER(SEARCH("champ visuel",$J63)),ISNUMBER(SEARCH("hémianops",$J63)),ISNUMBER(SEARCH("hemianops",$J63))),"42.05",""),IF(OR(ISNUMBER(SEARCH("faiblesse",$H63)),ISNUMBER(SEARCH("spastic",$H63))),"40.11",""),IF(OR(ISNUMBER(SEARCH("faiblesse",$H63)),ISNUMBER(SEARCH("spastic",$H63))),"35.02",""))</f>
        <v/>
      </c>
      <c r="Y63" s="2">
        <f>TEXTJOIN(" | ",TRUE,IF($I63="Oui","Vision: correction (lunettes/lentilles) selon bilan ophtalmo.",""),IF(OR(ISNUMBER(SEARCH("diplop",$J63)),ISNUMBER(SEARCH("occlus",$J63))),"Si diplopie: prisme/occlusion/couvre-œil si indiqué + avis oph.",""),IF(OR(ISNUMBER(SEARCH("main droite",$H63)),ISNUMBER(SEARCH("hémipar",$H63)),ISNUMBER(SEARCH("hemipar",$H63))),"Si déficit MS: privilégier véhicule à boîte automatique + aide au volant/commandes.",""),IF(OR(ISNUMBER(SEARCH("équilibre",$H63)),ISNUMBER(SEARCH("equilibre",$H63)),ISNUMBER(SEARCH("atax",$H63))),"Si instabilité: siège avec soutien latéral / accoudoir.",""),IF(OR(ISNUMBER(SEARCH("hémianops",$J63)),ISNUMBER(SEARCH("hemianops",$J63))),"Si champ visuel limité: dispositifs de vision angle mort (si compatible) + avis spécialisé.",""))</f>
        <v/>
      </c>
    </row>
    <row r="64">
      <c r="T64" s="2">
        <f>IF($E64="&lt; 6 mois","FIN_A",IF($G64="Oui","FIN_A",IF($I64="Oui",IFERROR(IF(OR(ISNUMBER(SEARCH("hémianops",$J64)),ISNUMBER(SEARCH("hemianops",$J64)),ISNUMBER(SEARCH("quadranops",$J64)),ISNUMBER(SEARCH("diplop",$J64)),ISNUMBER(SEARCH("nystag",$J64)),ISNUMBER(SEARCH("saccad",$J64))),"FIN_A","FIN_E"),"FIN_E"),IF($K64="Oui","FIN_C",IF($M64="Oui","FIN_A",IF($N64="Oui","FIN_A",IF($O64="Oui","FIN_A",IF($P64="Oui","FIN_A",IF($Q64="Oui","FIN_D",IF($R64="Non","FIN_E",IF($S64="Oui","FIN_A","FIN_D"))))))))))))</f>
        <v/>
      </c>
      <c r="X64" s="2">
        <f>TEXTJOIN(", ",TRUE,IF($I64="Oui",IF(ISNUMBER(SEARCH("lent",$J64)),"01.02",IF(ISNUMBER(SEARCH("lunett",$J64)),"01.01","01.06")),""),IF(OR(ISNUMBER(SEARCH("diplop",$J64)),ISNUMBER(SEARCH("couvre",$J64)),ISNUMBER(SEARCH("occlus",$J64))),"01.05",""),IF(OR(ISNUMBER(SEARCH("main droite",$H64)),ISNUMBER(SEARCH("faiblesse droite",$H64)),ISNUMBER(SEARCH("hémipar",$H64)),ISNUMBER(SEARCH("hemipar",$H64))),"78",""),IF(OR(ISNUMBER(SEARCH("main",$H64)),ISNUMBER(SEARCH("membre supérieur",$H64)),ISNUMBER(SEARCH("membre superieur",$H64))),"03.01",""),IF(OR(ISNUMBER(SEARCH("équilibre",$H64)),ISNUMBER(SEARCH("equilibre",$H64)),ISNUMBER(SEARCH("atax",$H64))),"43.03",""),IF(OR(ISNUMBER(SEARCH("champ visuel",$J64)),ISNUMBER(SEARCH("hémianops",$J64)),ISNUMBER(SEARCH("hemianops",$J64))),"42.05",""),IF(OR(ISNUMBER(SEARCH("faiblesse",$H64)),ISNUMBER(SEARCH("spastic",$H64))),"40.11",""),IF(OR(ISNUMBER(SEARCH("faiblesse",$H64)),ISNUMBER(SEARCH("spastic",$H64))),"35.02",""))</f>
        <v/>
      </c>
      <c r="Y64" s="2">
        <f>TEXTJOIN(" | ",TRUE,IF($I64="Oui","Vision: correction (lunettes/lentilles) selon bilan ophtalmo.",""),IF(OR(ISNUMBER(SEARCH("diplop",$J64)),ISNUMBER(SEARCH("occlus",$J64))),"Si diplopie: prisme/occlusion/couvre-œil si indiqué + avis oph.",""),IF(OR(ISNUMBER(SEARCH("main droite",$H64)),ISNUMBER(SEARCH("hémipar",$H64)),ISNUMBER(SEARCH("hemipar",$H64))),"Si déficit MS: privilégier véhicule à boîte automatique + aide au volant/commandes.",""),IF(OR(ISNUMBER(SEARCH("équilibre",$H64)),ISNUMBER(SEARCH("equilibre",$H64)),ISNUMBER(SEARCH("atax",$H64))),"Si instabilité: siège avec soutien latéral / accoudoir.",""),IF(OR(ISNUMBER(SEARCH("hémianops",$J64)),ISNUMBER(SEARCH("hemianops",$J64))),"Si champ visuel limité: dispositifs de vision angle mort (si compatible) + avis spécialisé.",""))</f>
        <v/>
      </c>
    </row>
    <row r="65">
      <c r="T65" s="2">
        <f>IF($E65="&lt; 6 mois","FIN_A",IF($G65="Oui","FIN_A",IF($I65="Oui",IFERROR(IF(OR(ISNUMBER(SEARCH("hémianops",$J65)),ISNUMBER(SEARCH("hemianops",$J65)),ISNUMBER(SEARCH("quadranops",$J65)),ISNUMBER(SEARCH("diplop",$J65)),ISNUMBER(SEARCH("nystag",$J65)),ISNUMBER(SEARCH("saccad",$J65))),"FIN_A","FIN_E"),"FIN_E"),IF($K65="Oui","FIN_C",IF($M65="Oui","FIN_A",IF($N65="Oui","FIN_A",IF($O65="Oui","FIN_A",IF($P65="Oui","FIN_A",IF($Q65="Oui","FIN_D",IF($R65="Non","FIN_E",IF($S65="Oui","FIN_A","FIN_D"))))))))))))</f>
        <v/>
      </c>
      <c r="X65" s="2">
        <f>TEXTJOIN(", ",TRUE,IF($I65="Oui",IF(ISNUMBER(SEARCH("lent",$J65)),"01.02",IF(ISNUMBER(SEARCH("lunett",$J65)),"01.01","01.06")),""),IF(OR(ISNUMBER(SEARCH("diplop",$J65)),ISNUMBER(SEARCH("couvre",$J65)),ISNUMBER(SEARCH("occlus",$J65))),"01.05",""),IF(OR(ISNUMBER(SEARCH("main droite",$H65)),ISNUMBER(SEARCH("faiblesse droite",$H65)),ISNUMBER(SEARCH("hémipar",$H65)),ISNUMBER(SEARCH("hemipar",$H65))),"78",""),IF(OR(ISNUMBER(SEARCH("main",$H65)),ISNUMBER(SEARCH("membre supérieur",$H65)),ISNUMBER(SEARCH("membre superieur",$H65))),"03.01",""),IF(OR(ISNUMBER(SEARCH("équilibre",$H65)),ISNUMBER(SEARCH("equilibre",$H65)),ISNUMBER(SEARCH("atax",$H65))),"43.03",""),IF(OR(ISNUMBER(SEARCH("champ visuel",$J65)),ISNUMBER(SEARCH("hémianops",$J65)),ISNUMBER(SEARCH("hemianops",$J65))),"42.05",""),IF(OR(ISNUMBER(SEARCH("faiblesse",$H65)),ISNUMBER(SEARCH("spastic",$H65))),"40.11",""),IF(OR(ISNUMBER(SEARCH("faiblesse",$H65)),ISNUMBER(SEARCH("spastic",$H65))),"35.02",""))</f>
        <v/>
      </c>
      <c r="Y65" s="2">
        <f>TEXTJOIN(" | ",TRUE,IF($I65="Oui","Vision: correction (lunettes/lentilles) selon bilan ophtalmo.",""),IF(OR(ISNUMBER(SEARCH("diplop",$J65)),ISNUMBER(SEARCH("occlus",$J65))),"Si diplopie: prisme/occlusion/couvre-œil si indiqué + avis oph.",""),IF(OR(ISNUMBER(SEARCH("main droite",$H65)),ISNUMBER(SEARCH("hémipar",$H65)),ISNUMBER(SEARCH("hemipar",$H65))),"Si déficit MS: privilégier véhicule à boîte automatique + aide au volant/commandes.",""),IF(OR(ISNUMBER(SEARCH("équilibre",$H65)),ISNUMBER(SEARCH("equilibre",$H65)),ISNUMBER(SEARCH("atax",$H65))),"Si instabilité: siège avec soutien latéral / accoudoir.",""),IF(OR(ISNUMBER(SEARCH("hémianops",$J65)),ISNUMBER(SEARCH("hemianops",$J65))),"Si champ visuel limité: dispositifs de vision angle mort (si compatible) + avis spécialisé.",""))</f>
        <v/>
      </c>
    </row>
    <row r="66">
      <c r="T66" s="2">
        <f>IF($E66="&lt; 6 mois","FIN_A",IF($G66="Oui","FIN_A",IF($I66="Oui",IFERROR(IF(OR(ISNUMBER(SEARCH("hémianops",$J66)),ISNUMBER(SEARCH("hemianops",$J66)),ISNUMBER(SEARCH("quadranops",$J66)),ISNUMBER(SEARCH("diplop",$J66)),ISNUMBER(SEARCH("nystag",$J66)),ISNUMBER(SEARCH("saccad",$J66))),"FIN_A","FIN_E"),"FIN_E"),IF($K66="Oui","FIN_C",IF($M66="Oui","FIN_A",IF($N66="Oui","FIN_A",IF($O66="Oui","FIN_A",IF($P66="Oui","FIN_A",IF($Q66="Oui","FIN_D",IF($R66="Non","FIN_E",IF($S66="Oui","FIN_A","FIN_D"))))))))))))</f>
        <v/>
      </c>
      <c r="X66" s="2">
        <f>TEXTJOIN(", ",TRUE,IF($I66="Oui",IF(ISNUMBER(SEARCH("lent",$J66)),"01.02",IF(ISNUMBER(SEARCH("lunett",$J66)),"01.01","01.06")),""),IF(OR(ISNUMBER(SEARCH("diplop",$J66)),ISNUMBER(SEARCH("couvre",$J66)),ISNUMBER(SEARCH("occlus",$J66))),"01.05",""),IF(OR(ISNUMBER(SEARCH("main droite",$H66)),ISNUMBER(SEARCH("faiblesse droite",$H66)),ISNUMBER(SEARCH("hémipar",$H66)),ISNUMBER(SEARCH("hemipar",$H66))),"78",""),IF(OR(ISNUMBER(SEARCH("main",$H66)),ISNUMBER(SEARCH("membre supérieur",$H66)),ISNUMBER(SEARCH("membre superieur",$H66))),"03.01",""),IF(OR(ISNUMBER(SEARCH("équilibre",$H66)),ISNUMBER(SEARCH("equilibre",$H66)),ISNUMBER(SEARCH("atax",$H66))),"43.03",""),IF(OR(ISNUMBER(SEARCH("champ visuel",$J66)),ISNUMBER(SEARCH("hémianops",$J66)),ISNUMBER(SEARCH("hemianops",$J66))),"42.05",""),IF(OR(ISNUMBER(SEARCH("faiblesse",$H66)),ISNUMBER(SEARCH("spastic",$H66))),"40.11",""),IF(OR(ISNUMBER(SEARCH("faiblesse",$H66)),ISNUMBER(SEARCH("spastic",$H66))),"35.02",""))</f>
        <v/>
      </c>
      <c r="Y66" s="2">
        <f>TEXTJOIN(" | ",TRUE,IF($I66="Oui","Vision: correction (lunettes/lentilles) selon bilan ophtalmo.",""),IF(OR(ISNUMBER(SEARCH("diplop",$J66)),ISNUMBER(SEARCH("occlus",$J66))),"Si diplopie: prisme/occlusion/couvre-œil si indiqué + avis oph.",""),IF(OR(ISNUMBER(SEARCH("main droite",$H66)),ISNUMBER(SEARCH("hémipar",$H66)),ISNUMBER(SEARCH("hemipar",$H66))),"Si déficit MS: privilégier véhicule à boîte automatique + aide au volant/commandes.",""),IF(OR(ISNUMBER(SEARCH("équilibre",$H66)),ISNUMBER(SEARCH("equilibre",$H66)),ISNUMBER(SEARCH("atax",$H66))),"Si instabilité: siège avec soutien latéral / accoudoir.",""),IF(OR(ISNUMBER(SEARCH("hémianops",$J66)),ISNUMBER(SEARCH("hemianops",$J66))),"Si champ visuel limité: dispositifs de vision angle mort (si compatible) + avis spécialisé.",""))</f>
        <v/>
      </c>
    </row>
    <row r="67">
      <c r="T67" s="2">
        <f>IF($E67="&lt; 6 mois","FIN_A",IF($G67="Oui","FIN_A",IF($I67="Oui",IFERROR(IF(OR(ISNUMBER(SEARCH("hémianops",$J67)),ISNUMBER(SEARCH("hemianops",$J67)),ISNUMBER(SEARCH("quadranops",$J67)),ISNUMBER(SEARCH("diplop",$J67)),ISNUMBER(SEARCH("nystag",$J67)),ISNUMBER(SEARCH("saccad",$J67))),"FIN_A","FIN_E"),"FIN_E"),IF($K67="Oui","FIN_C",IF($M67="Oui","FIN_A",IF($N67="Oui","FIN_A",IF($O67="Oui","FIN_A",IF($P67="Oui","FIN_A",IF($Q67="Oui","FIN_D",IF($R67="Non","FIN_E",IF($S67="Oui","FIN_A","FIN_D"))))))))))))</f>
        <v/>
      </c>
      <c r="X67" s="2">
        <f>TEXTJOIN(", ",TRUE,IF($I67="Oui",IF(ISNUMBER(SEARCH("lent",$J67)),"01.02",IF(ISNUMBER(SEARCH("lunett",$J67)),"01.01","01.06")),""),IF(OR(ISNUMBER(SEARCH("diplop",$J67)),ISNUMBER(SEARCH("couvre",$J67)),ISNUMBER(SEARCH("occlus",$J67))),"01.05",""),IF(OR(ISNUMBER(SEARCH("main droite",$H67)),ISNUMBER(SEARCH("faiblesse droite",$H67)),ISNUMBER(SEARCH("hémipar",$H67)),ISNUMBER(SEARCH("hemipar",$H67))),"78",""),IF(OR(ISNUMBER(SEARCH("main",$H67)),ISNUMBER(SEARCH("membre supérieur",$H67)),ISNUMBER(SEARCH("membre superieur",$H67))),"03.01",""),IF(OR(ISNUMBER(SEARCH("équilibre",$H67)),ISNUMBER(SEARCH("equilibre",$H67)),ISNUMBER(SEARCH("atax",$H67))),"43.03",""),IF(OR(ISNUMBER(SEARCH("champ visuel",$J67)),ISNUMBER(SEARCH("hémianops",$J67)),ISNUMBER(SEARCH("hemianops",$J67))),"42.05",""),IF(OR(ISNUMBER(SEARCH("faiblesse",$H67)),ISNUMBER(SEARCH("spastic",$H67))),"40.11",""),IF(OR(ISNUMBER(SEARCH("faiblesse",$H67)),ISNUMBER(SEARCH("spastic",$H67))),"35.02",""))</f>
        <v/>
      </c>
      <c r="Y67" s="2">
        <f>TEXTJOIN(" | ",TRUE,IF($I67="Oui","Vision: correction (lunettes/lentilles) selon bilan ophtalmo.",""),IF(OR(ISNUMBER(SEARCH("diplop",$J67)),ISNUMBER(SEARCH("occlus",$J67))),"Si diplopie: prisme/occlusion/couvre-œil si indiqué + avis oph.",""),IF(OR(ISNUMBER(SEARCH("main droite",$H67)),ISNUMBER(SEARCH("hémipar",$H67)),ISNUMBER(SEARCH("hemipar",$H67))),"Si déficit MS: privilégier véhicule à boîte automatique + aide au volant/commandes.",""),IF(OR(ISNUMBER(SEARCH("équilibre",$H67)),ISNUMBER(SEARCH("equilibre",$H67)),ISNUMBER(SEARCH("atax",$H67))),"Si instabilité: siège avec soutien latéral / accoudoir.",""),IF(OR(ISNUMBER(SEARCH("hémianops",$J67)),ISNUMBER(SEARCH("hemianops",$J67))),"Si champ visuel limité: dispositifs de vision angle mort (si compatible) + avis spécialisé.",""))</f>
        <v/>
      </c>
    </row>
    <row r="68">
      <c r="T68" s="2">
        <f>IF($E68="&lt; 6 mois","FIN_A",IF($G68="Oui","FIN_A",IF($I68="Oui",IFERROR(IF(OR(ISNUMBER(SEARCH("hémianops",$J68)),ISNUMBER(SEARCH("hemianops",$J68)),ISNUMBER(SEARCH("quadranops",$J68)),ISNUMBER(SEARCH("diplop",$J68)),ISNUMBER(SEARCH("nystag",$J68)),ISNUMBER(SEARCH("saccad",$J68))),"FIN_A","FIN_E"),"FIN_E"),IF($K68="Oui","FIN_C",IF($M68="Oui","FIN_A",IF($N68="Oui","FIN_A",IF($O68="Oui","FIN_A",IF($P68="Oui","FIN_A",IF($Q68="Oui","FIN_D",IF($R68="Non","FIN_E",IF($S68="Oui","FIN_A","FIN_D"))))))))))))</f>
        <v/>
      </c>
      <c r="X68" s="2">
        <f>TEXTJOIN(", ",TRUE,IF($I68="Oui",IF(ISNUMBER(SEARCH("lent",$J68)),"01.02",IF(ISNUMBER(SEARCH("lunett",$J68)),"01.01","01.06")),""),IF(OR(ISNUMBER(SEARCH("diplop",$J68)),ISNUMBER(SEARCH("couvre",$J68)),ISNUMBER(SEARCH("occlus",$J68))),"01.05",""),IF(OR(ISNUMBER(SEARCH("main droite",$H68)),ISNUMBER(SEARCH("faiblesse droite",$H68)),ISNUMBER(SEARCH("hémipar",$H68)),ISNUMBER(SEARCH("hemipar",$H68))),"78",""),IF(OR(ISNUMBER(SEARCH("main",$H68)),ISNUMBER(SEARCH("membre supérieur",$H68)),ISNUMBER(SEARCH("membre superieur",$H68))),"03.01",""),IF(OR(ISNUMBER(SEARCH("équilibre",$H68)),ISNUMBER(SEARCH("equilibre",$H68)),ISNUMBER(SEARCH("atax",$H68))),"43.03",""),IF(OR(ISNUMBER(SEARCH("champ visuel",$J68)),ISNUMBER(SEARCH("hémianops",$J68)),ISNUMBER(SEARCH("hemianops",$J68))),"42.05",""),IF(OR(ISNUMBER(SEARCH("faiblesse",$H68)),ISNUMBER(SEARCH("spastic",$H68))),"40.11",""),IF(OR(ISNUMBER(SEARCH("faiblesse",$H68)),ISNUMBER(SEARCH("spastic",$H68))),"35.02",""))</f>
        <v/>
      </c>
      <c r="Y68" s="2">
        <f>TEXTJOIN(" | ",TRUE,IF($I68="Oui","Vision: correction (lunettes/lentilles) selon bilan ophtalmo.",""),IF(OR(ISNUMBER(SEARCH("diplop",$J68)),ISNUMBER(SEARCH("occlus",$J68))),"Si diplopie: prisme/occlusion/couvre-œil si indiqué + avis oph.",""),IF(OR(ISNUMBER(SEARCH("main droite",$H68)),ISNUMBER(SEARCH("hémipar",$H68)),ISNUMBER(SEARCH("hemipar",$H68))),"Si déficit MS: privilégier véhicule à boîte automatique + aide au volant/commandes.",""),IF(OR(ISNUMBER(SEARCH("équilibre",$H68)),ISNUMBER(SEARCH("equilibre",$H68)),ISNUMBER(SEARCH("atax",$H68))),"Si instabilité: siège avec soutien latéral / accoudoir.",""),IF(OR(ISNUMBER(SEARCH("hémianops",$J68)),ISNUMBER(SEARCH("hemianops",$J68))),"Si champ visuel limité: dispositifs de vision angle mort (si compatible) + avis spécialisé.",""))</f>
        <v/>
      </c>
    </row>
    <row r="69">
      <c r="T69" s="2">
        <f>IF($E69="&lt; 6 mois","FIN_A",IF($G69="Oui","FIN_A",IF($I69="Oui",IFERROR(IF(OR(ISNUMBER(SEARCH("hémianops",$J69)),ISNUMBER(SEARCH("hemianops",$J69)),ISNUMBER(SEARCH("quadranops",$J69)),ISNUMBER(SEARCH("diplop",$J69)),ISNUMBER(SEARCH("nystag",$J69)),ISNUMBER(SEARCH("saccad",$J69))),"FIN_A","FIN_E"),"FIN_E"),IF($K69="Oui","FIN_C",IF($M69="Oui","FIN_A",IF($N69="Oui","FIN_A",IF($O69="Oui","FIN_A",IF($P69="Oui","FIN_A",IF($Q69="Oui","FIN_D",IF($R69="Non","FIN_E",IF($S69="Oui","FIN_A","FIN_D"))))))))))))</f>
        <v/>
      </c>
      <c r="X69" s="2">
        <f>TEXTJOIN(", ",TRUE,IF($I69="Oui",IF(ISNUMBER(SEARCH("lent",$J69)),"01.02",IF(ISNUMBER(SEARCH("lunett",$J69)),"01.01","01.06")),""),IF(OR(ISNUMBER(SEARCH("diplop",$J69)),ISNUMBER(SEARCH("couvre",$J69)),ISNUMBER(SEARCH("occlus",$J69))),"01.05",""),IF(OR(ISNUMBER(SEARCH("main droite",$H69)),ISNUMBER(SEARCH("faiblesse droite",$H69)),ISNUMBER(SEARCH("hémipar",$H69)),ISNUMBER(SEARCH("hemipar",$H69))),"78",""),IF(OR(ISNUMBER(SEARCH("main",$H69)),ISNUMBER(SEARCH("membre supérieur",$H69)),ISNUMBER(SEARCH("membre superieur",$H69))),"03.01",""),IF(OR(ISNUMBER(SEARCH("équilibre",$H69)),ISNUMBER(SEARCH("equilibre",$H69)),ISNUMBER(SEARCH("atax",$H69))),"43.03",""),IF(OR(ISNUMBER(SEARCH("champ visuel",$J69)),ISNUMBER(SEARCH("hémianops",$J69)),ISNUMBER(SEARCH("hemianops",$J69))),"42.05",""),IF(OR(ISNUMBER(SEARCH("faiblesse",$H69)),ISNUMBER(SEARCH("spastic",$H69))),"40.11",""),IF(OR(ISNUMBER(SEARCH("faiblesse",$H69)),ISNUMBER(SEARCH("spastic",$H69))),"35.02",""))</f>
        <v/>
      </c>
      <c r="Y69" s="2">
        <f>TEXTJOIN(" | ",TRUE,IF($I69="Oui","Vision: correction (lunettes/lentilles) selon bilan ophtalmo.",""),IF(OR(ISNUMBER(SEARCH("diplop",$J69)),ISNUMBER(SEARCH("occlus",$J69))),"Si diplopie: prisme/occlusion/couvre-œil si indiqué + avis oph.",""),IF(OR(ISNUMBER(SEARCH("main droite",$H69)),ISNUMBER(SEARCH("hémipar",$H69)),ISNUMBER(SEARCH("hemipar",$H69))),"Si déficit MS: privilégier véhicule à boîte automatique + aide au volant/commandes.",""),IF(OR(ISNUMBER(SEARCH("équilibre",$H69)),ISNUMBER(SEARCH("equilibre",$H69)),ISNUMBER(SEARCH("atax",$H69))),"Si instabilité: siège avec soutien latéral / accoudoir.",""),IF(OR(ISNUMBER(SEARCH("hémianops",$J69)),ISNUMBER(SEARCH("hemianops",$J69))),"Si champ visuel limité: dispositifs de vision angle mort (si compatible) + avis spécialisé.",""))</f>
        <v/>
      </c>
    </row>
    <row r="70">
      <c r="T70" s="2">
        <f>IF($E70="&lt; 6 mois","FIN_A",IF($G70="Oui","FIN_A",IF($I70="Oui",IFERROR(IF(OR(ISNUMBER(SEARCH("hémianops",$J70)),ISNUMBER(SEARCH("hemianops",$J70)),ISNUMBER(SEARCH("quadranops",$J70)),ISNUMBER(SEARCH("diplop",$J70)),ISNUMBER(SEARCH("nystag",$J70)),ISNUMBER(SEARCH("saccad",$J70))),"FIN_A","FIN_E"),"FIN_E"),IF($K70="Oui","FIN_C",IF($M70="Oui","FIN_A",IF($N70="Oui","FIN_A",IF($O70="Oui","FIN_A",IF($P70="Oui","FIN_A",IF($Q70="Oui","FIN_D",IF($R70="Non","FIN_E",IF($S70="Oui","FIN_A","FIN_D"))))))))))))</f>
        <v/>
      </c>
      <c r="X70" s="2">
        <f>TEXTJOIN(", ",TRUE,IF($I70="Oui",IF(ISNUMBER(SEARCH("lent",$J70)),"01.02",IF(ISNUMBER(SEARCH("lunett",$J70)),"01.01","01.06")),""),IF(OR(ISNUMBER(SEARCH("diplop",$J70)),ISNUMBER(SEARCH("couvre",$J70)),ISNUMBER(SEARCH("occlus",$J70))),"01.05",""),IF(OR(ISNUMBER(SEARCH("main droite",$H70)),ISNUMBER(SEARCH("faiblesse droite",$H70)),ISNUMBER(SEARCH("hémipar",$H70)),ISNUMBER(SEARCH("hemipar",$H70))),"78",""),IF(OR(ISNUMBER(SEARCH("main",$H70)),ISNUMBER(SEARCH("membre supérieur",$H70)),ISNUMBER(SEARCH("membre superieur",$H70))),"03.01",""),IF(OR(ISNUMBER(SEARCH("équilibre",$H70)),ISNUMBER(SEARCH("equilibre",$H70)),ISNUMBER(SEARCH("atax",$H70))),"43.03",""),IF(OR(ISNUMBER(SEARCH("champ visuel",$J70)),ISNUMBER(SEARCH("hémianops",$J70)),ISNUMBER(SEARCH("hemianops",$J70))),"42.05",""),IF(OR(ISNUMBER(SEARCH("faiblesse",$H70)),ISNUMBER(SEARCH("spastic",$H70))),"40.11",""),IF(OR(ISNUMBER(SEARCH("faiblesse",$H70)),ISNUMBER(SEARCH("spastic",$H70))),"35.02",""))</f>
        <v/>
      </c>
      <c r="Y70" s="2">
        <f>TEXTJOIN(" | ",TRUE,IF($I70="Oui","Vision: correction (lunettes/lentilles) selon bilan ophtalmo.",""),IF(OR(ISNUMBER(SEARCH("diplop",$J70)),ISNUMBER(SEARCH("occlus",$J70))),"Si diplopie: prisme/occlusion/couvre-œil si indiqué + avis oph.",""),IF(OR(ISNUMBER(SEARCH("main droite",$H70)),ISNUMBER(SEARCH("hémipar",$H70)),ISNUMBER(SEARCH("hemipar",$H70))),"Si déficit MS: privilégier véhicule à boîte automatique + aide au volant/commandes.",""),IF(OR(ISNUMBER(SEARCH("équilibre",$H70)),ISNUMBER(SEARCH("equilibre",$H70)),ISNUMBER(SEARCH("atax",$H70))),"Si instabilité: siège avec soutien latéral / accoudoir.",""),IF(OR(ISNUMBER(SEARCH("hémianops",$J70)),ISNUMBER(SEARCH("hemianops",$J70))),"Si champ visuel limité: dispositifs de vision angle mort (si compatible) + avis spécialisé.",""))</f>
        <v/>
      </c>
    </row>
    <row r="71">
      <c r="T71" s="2">
        <f>IF($E71="&lt; 6 mois","FIN_A",IF($G71="Oui","FIN_A",IF($I71="Oui",IFERROR(IF(OR(ISNUMBER(SEARCH("hémianops",$J71)),ISNUMBER(SEARCH("hemianops",$J71)),ISNUMBER(SEARCH("quadranops",$J71)),ISNUMBER(SEARCH("diplop",$J71)),ISNUMBER(SEARCH("nystag",$J71)),ISNUMBER(SEARCH("saccad",$J71))),"FIN_A","FIN_E"),"FIN_E"),IF($K71="Oui","FIN_C",IF($M71="Oui","FIN_A",IF($N71="Oui","FIN_A",IF($O71="Oui","FIN_A",IF($P71="Oui","FIN_A",IF($Q71="Oui","FIN_D",IF($R71="Non","FIN_E",IF($S71="Oui","FIN_A","FIN_D"))))))))))))</f>
        <v/>
      </c>
      <c r="X71" s="2">
        <f>TEXTJOIN(", ",TRUE,IF($I71="Oui",IF(ISNUMBER(SEARCH("lent",$J71)),"01.02",IF(ISNUMBER(SEARCH("lunett",$J71)),"01.01","01.06")),""),IF(OR(ISNUMBER(SEARCH("diplop",$J71)),ISNUMBER(SEARCH("couvre",$J71)),ISNUMBER(SEARCH("occlus",$J71))),"01.05",""),IF(OR(ISNUMBER(SEARCH("main droite",$H71)),ISNUMBER(SEARCH("faiblesse droite",$H71)),ISNUMBER(SEARCH("hémipar",$H71)),ISNUMBER(SEARCH("hemipar",$H71))),"78",""),IF(OR(ISNUMBER(SEARCH("main",$H71)),ISNUMBER(SEARCH("membre supérieur",$H71)),ISNUMBER(SEARCH("membre superieur",$H71))),"03.01",""),IF(OR(ISNUMBER(SEARCH("équilibre",$H71)),ISNUMBER(SEARCH("equilibre",$H71)),ISNUMBER(SEARCH("atax",$H71))),"43.03",""),IF(OR(ISNUMBER(SEARCH("champ visuel",$J71)),ISNUMBER(SEARCH("hémianops",$J71)),ISNUMBER(SEARCH("hemianops",$J71))),"42.05",""),IF(OR(ISNUMBER(SEARCH("faiblesse",$H71)),ISNUMBER(SEARCH("spastic",$H71))),"40.11",""),IF(OR(ISNUMBER(SEARCH("faiblesse",$H71)),ISNUMBER(SEARCH("spastic",$H71))),"35.02",""))</f>
        <v/>
      </c>
      <c r="Y71" s="2">
        <f>TEXTJOIN(" | ",TRUE,IF($I71="Oui","Vision: correction (lunettes/lentilles) selon bilan ophtalmo.",""),IF(OR(ISNUMBER(SEARCH("diplop",$J71)),ISNUMBER(SEARCH("occlus",$J71))),"Si diplopie: prisme/occlusion/couvre-œil si indiqué + avis oph.",""),IF(OR(ISNUMBER(SEARCH("main droite",$H71)),ISNUMBER(SEARCH("hémipar",$H71)),ISNUMBER(SEARCH("hemipar",$H71))),"Si déficit MS: privilégier véhicule à boîte automatique + aide au volant/commandes.",""),IF(OR(ISNUMBER(SEARCH("équilibre",$H71)),ISNUMBER(SEARCH("equilibre",$H71)),ISNUMBER(SEARCH("atax",$H71))),"Si instabilité: siège avec soutien latéral / accoudoir.",""),IF(OR(ISNUMBER(SEARCH("hémianops",$J71)),ISNUMBER(SEARCH("hemianops",$J71))),"Si champ visuel limité: dispositifs de vision angle mort (si compatible) + avis spécialisé.",""))</f>
        <v/>
      </c>
    </row>
    <row r="72">
      <c r="T72" s="2">
        <f>IF($E72="&lt; 6 mois","FIN_A",IF($G72="Oui","FIN_A",IF($I72="Oui",IFERROR(IF(OR(ISNUMBER(SEARCH("hémianops",$J72)),ISNUMBER(SEARCH("hemianops",$J72)),ISNUMBER(SEARCH("quadranops",$J72)),ISNUMBER(SEARCH("diplop",$J72)),ISNUMBER(SEARCH("nystag",$J72)),ISNUMBER(SEARCH("saccad",$J72))),"FIN_A","FIN_E"),"FIN_E"),IF($K72="Oui","FIN_C",IF($M72="Oui","FIN_A",IF($N72="Oui","FIN_A",IF($O72="Oui","FIN_A",IF($P72="Oui","FIN_A",IF($Q72="Oui","FIN_D",IF($R72="Non","FIN_E",IF($S72="Oui","FIN_A","FIN_D"))))))))))))</f>
        <v/>
      </c>
      <c r="X72" s="2">
        <f>TEXTJOIN(", ",TRUE,IF($I72="Oui",IF(ISNUMBER(SEARCH("lent",$J72)),"01.02",IF(ISNUMBER(SEARCH("lunett",$J72)),"01.01","01.06")),""),IF(OR(ISNUMBER(SEARCH("diplop",$J72)),ISNUMBER(SEARCH("couvre",$J72)),ISNUMBER(SEARCH("occlus",$J72))),"01.05",""),IF(OR(ISNUMBER(SEARCH("main droite",$H72)),ISNUMBER(SEARCH("faiblesse droite",$H72)),ISNUMBER(SEARCH("hémipar",$H72)),ISNUMBER(SEARCH("hemipar",$H72))),"78",""),IF(OR(ISNUMBER(SEARCH("main",$H72)),ISNUMBER(SEARCH("membre supérieur",$H72)),ISNUMBER(SEARCH("membre superieur",$H72))),"03.01",""),IF(OR(ISNUMBER(SEARCH("équilibre",$H72)),ISNUMBER(SEARCH("equilibre",$H72)),ISNUMBER(SEARCH("atax",$H72))),"43.03",""),IF(OR(ISNUMBER(SEARCH("champ visuel",$J72)),ISNUMBER(SEARCH("hémianops",$J72)),ISNUMBER(SEARCH("hemianops",$J72))),"42.05",""),IF(OR(ISNUMBER(SEARCH("faiblesse",$H72)),ISNUMBER(SEARCH("spastic",$H72))),"40.11",""),IF(OR(ISNUMBER(SEARCH("faiblesse",$H72)),ISNUMBER(SEARCH("spastic",$H72))),"35.02",""))</f>
        <v/>
      </c>
      <c r="Y72" s="2">
        <f>TEXTJOIN(" | ",TRUE,IF($I72="Oui","Vision: correction (lunettes/lentilles) selon bilan ophtalmo.",""),IF(OR(ISNUMBER(SEARCH("diplop",$J72)),ISNUMBER(SEARCH("occlus",$J72))),"Si diplopie: prisme/occlusion/couvre-œil si indiqué + avis oph.",""),IF(OR(ISNUMBER(SEARCH("main droite",$H72)),ISNUMBER(SEARCH("hémipar",$H72)),ISNUMBER(SEARCH("hemipar",$H72))),"Si déficit MS: privilégier véhicule à boîte automatique + aide au volant/commandes.",""),IF(OR(ISNUMBER(SEARCH("équilibre",$H72)),ISNUMBER(SEARCH("equilibre",$H72)),ISNUMBER(SEARCH("atax",$H72))),"Si instabilité: siège avec soutien latéral / accoudoir.",""),IF(OR(ISNUMBER(SEARCH("hémianops",$J72)),ISNUMBER(SEARCH("hemianops",$J72))),"Si champ visuel limité: dispositifs de vision angle mort (si compatible) + avis spécialisé.",""))</f>
        <v/>
      </c>
    </row>
    <row r="73">
      <c r="T73" s="2">
        <f>IF($E73="&lt; 6 mois","FIN_A",IF($G73="Oui","FIN_A",IF($I73="Oui",IFERROR(IF(OR(ISNUMBER(SEARCH("hémianops",$J73)),ISNUMBER(SEARCH("hemianops",$J73)),ISNUMBER(SEARCH("quadranops",$J73)),ISNUMBER(SEARCH("diplop",$J73)),ISNUMBER(SEARCH("nystag",$J73)),ISNUMBER(SEARCH("saccad",$J73))),"FIN_A","FIN_E"),"FIN_E"),IF($K73="Oui","FIN_C",IF($M73="Oui","FIN_A",IF($N73="Oui","FIN_A",IF($O73="Oui","FIN_A",IF($P73="Oui","FIN_A",IF($Q73="Oui","FIN_D",IF($R73="Non","FIN_E",IF($S73="Oui","FIN_A","FIN_D"))))))))))))</f>
        <v/>
      </c>
      <c r="X73" s="2">
        <f>TEXTJOIN(", ",TRUE,IF($I73="Oui",IF(ISNUMBER(SEARCH("lent",$J73)),"01.02",IF(ISNUMBER(SEARCH("lunett",$J73)),"01.01","01.06")),""),IF(OR(ISNUMBER(SEARCH("diplop",$J73)),ISNUMBER(SEARCH("couvre",$J73)),ISNUMBER(SEARCH("occlus",$J73))),"01.05",""),IF(OR(ISNUMBER(SEARCH("main droite",$H73)),ISNUMBER(SEARCH("faiblesse droite",$H73)),ISNUMBER(SEARCH("hémipar",$H73)),ISNUMBER(SEARCH("hemipar",$H73))),"78",""),IF(OR(ISNUMBER(SEARCH("main",$H73)),ISNUMBER(SEARCH("membre supérieur",$H73)),ISNUMBER(SEARCH("membre superieur",$H73))),"03.01",""),IF(OR(ISNUMBER(SEARCH("équilibre",$H73)),ISNUMBER(SEARCH("equilibre",$H73)),ISNUMBER(SEARCH("atax",$H73))),"43.03",""),IF(OR(ISNUMBER(SEARCH("champ visuel",$J73)),ISNUMBER(SEARCH("hémianops",$J73)),ISNUMBER(SEARCH("hemianops",$J73))),"42.05",""),IF(OR(ISNUMBER(SEARCH("faiblesse",$H73)),ISNUMBER(SEARCH("spastic",$H73))),"40.11",""),IF(OR(ISNUMBER(SEARCH("faiblesse",$H73)),ISNUMBER(SEARCH("spastic",$H73))),"35.02",""))</f>
        <v/>
      </c>
      <c r="Y73" s="2">
        <f>TEXTJOIN(" | ",TRUE,IF($I73="Oui","Vision: correction (lunettes/lentilles) selon bilan ophtalmo.",""),IF(OR(ISNUMBER(SEARCH("diplop",$J73)),ISNUMBER(SEARCH("occlus",$J73))),"Si diplopie: prisme/occlusion/couvre-œil si indiqué + avis oph.",""),IF(OR(ISNUMBER(SEARCH("main droite",$H73)),ISNUMBER(SEARCH("hémipar",$H73)),ISNUMBER(SEARCH("hemipar",$H73))),"Si déficit MS: privilégier véhicule à boîte automatique + aide au volant/commandes.",""),IF(OR(ISNUMBER(SEARCH("équilibre",$H73)),ISNUMBER(SEARCH("equilibre",$H73)),ISNUMBER(SEARCH("atax",$H73))),"Si instabilité: siège avec soutien latéral / accoudoir.",""),IF(OR(ISNUMBER(SEARCH("hémianops",$J73)),ISNUMBER(SEARCH("hemianops",$J73))),"Si champ visuel limité: dispositifs de vision angle mort (si compatible) + avis spécialisé.",""))</f>
        <v/>
      </c>
    </row>
    <row r="74">
      <c r="T74" s="2">
        <f>IF($E74="&lt; 6 mois","FIN_A",IF($G74="Oui","FIN_A",IF($I74="Oui",IFERROR(IF(OR(ISNUMBER(SEARCH("hémianops",$J74)),ISNUMBER(SEARCH("hemianops",$J74)),ISNUMBER(SEARCH("quadranops",$J74)),ISNUMBER(SEARCH("diplop",$J74)),ISNUMBER(SEARCH("nystag",$J74)),ISNUMBER(SEARCH("saccad",$J74))),"FIN_A","FIN_E"),"FIN_E"),IF($K74="Oui","FIN_C",IF($M74="Oui","FIN_A",IF($N74="Oui","FIN_A",IF($O74="Oui","FIN_A",IF($P74="Oui","FIN_A",IF($Q74="Oui","FIN_D",IF($R74="Non","FIN_E",IF($S74="Oui","FIN_A","FIN_D"))))))))))))</f>
        <v/>
      </c>
      <c r="X74" s="2">
        <f>TEXTJOIN(", ",TRUE,IF($I74="Oui",IF(ISNUMBER(SEARCH("lent",$J74)),"01.02",IF(ISNUMBER(SEARCH("lunett",$J74)),"01.01","01.06")),""),IF(OR(ISNUMBER(SEARCH("diplop",$J74)),ISNUMBER(SEARCH("couvre",$J74)),ISNUMBER(SEARCH("occlus",$J74))),"01.05",""),IF(OR(ISNUMBER(SEARCH("main droite",$H74)),ISNUMBER(SEARCH("faiblesse droite",$H74)),ISNUMBER(SEARCH("hémipar",$H74)),ISNUMBER(SEARCH("hemipar",$H74))),"78",""),IF(OR(ISNUMBER(SEARCH("main",$H74)),ISNUMBER(SEARCH("membre supérieur",$H74)),ISNUMBER(SEARCH("membre superieur",$H74))),"03.01",""),IF(OR(ISNUMBER(SEARCH("équilibre",$H74)),ISNUMBER(SEARCH("equilibre",$H74)),ISNUMBER(SEARCH("atax",$H74))),"43.03",""),IF(OR(ISNUMBER(SEARCH("champ visuel",$J74)),ISNUMBER(SEARCH("hémianops",$J74)),ISNUMBER(SEARCH("hemianops",$J74))),"42.05",""),IF(OR(ISNUMBER(SEARCH("faiblesse",$H74)),ISNUMBER(SEARCH("spastic",$H74))),"40.11",""),IF(OR(ISNUMBER(SEARCH("faiblesse",$H74)),ISNUMBER(SEARCH("spastic",$H74))),"35.02",""))</f>
        <v/>
      </c>
      <c r="Y74" s="2">
        <f>TEXTJOIN(" | ",TRUE,IF($I74="Oui","Vision: correction (lunettes/lentilles) selon bilan ophtalmo.",""),IF(OR(ISNUMBER(SEARCH("diplop",$J74)),ISNUMBER(SEARCH("occlus",$J74))),"Si diplopie: prisme/occlusion/couvre-œil si indiqué + avis oph.",""),IF(OR(ISNUMBER(SEARCH("main droite",$H74)),ISNUMBER(SEARCH("hémipar",$H74)),ISNUMBER(SEARCH("hemipar",$H74))),"Si déficit MS: privilégier véhicule à boîte automatique + aide au volant/commandes.",""),IF(OR(ISNUMBER(SEARCH("équilibre",$H74)),ISNUMBER(SEARCH("equilibre",$H74)),ISNUMBER(SEARCH("atax",$H74))),"Si instabilité: siège avec soutien latéral / accoudoir.",""),IF(OR(ISNUMBER(SEARCH("hémianops",$J74)),ISNUMBER(SEARCH("hemianops",$J74))),"Si champ visuel limité: dispositifs de vision angle mort (si compatible) + avis spécialisé.",""))</f>
        <v/>
      </c>
    </row>
    <row r="75">
      <c r="T75" s="2">
        <f>IF($E75="&lt; 6 mois","FIN_A",IF($G75="Oui","FIN_A",IF($I75="Oui",IFERROR(IF(OR(ISNUMBER(SEARCH("hémianops",$J75)),ISNUMBER(SEARCH("hemianops",$J75)),ISNUMBER(SEARCH("quadranops",$J75)),ISNUMBER(SEARCH("diplop",$J75)),ISNUMBER(SEARCH("nystag",$J75)),ISNUMBER(SEARCH("saccad",$J75))),"FIN_A","FIN_E"),"FIN_E"),IF($K75="Oui","FIN_C",IF($M75="Oui","FIN_A",IF($N75="Oui","FIN_A",IF($O75="Oui","FIN_A",IF($P75="Oui","FIN_A",IF($Q75="Oui","FIN_D",IF($R75="Non","FIN_E",IF($S75="Oui","FIN_A","FIN_D"))))))))))))</f>
        <v/>
      </c>
      <c r="X75" s="2">
        <f>TEXTJOIN(", ",TRUE,IF($I75="Oui",IF(ISNUMBER(SEARCH("lent",$J75)),"01.02",IF(ISNUMBER(SEARCH("lunett",$J75)),"01.01","01.06")),""),IF(OR(ISNUMBER(SEARCH("diplop",$J75)),ISNUMBER(SEARCH("couvre",$J75)),ISNUMBER(SEARCH("occlus",$J75))),"01.05",""),IF(OR(ISNUMBER(SEARCH("main droite",$H75)),ISNUMBER(SEARCH("faiblesse droite",$H75)),ISNUMBER(SEARCH("hémipar",$H75)),ISNUMBER(SEARCH("hemipar",$H75))),"78",""),IF(OR(ISNUMBER(SEARCH("main",$H75)),ISNUMBER(SEARCH("membre supérieur",$H75)),ISNUMBER(SEARCH("membre superieur",$H75))),"03.01",""),IF(OR(ISNUMBER(SEARCH("équilibre",$H75)),ISNUMBER(SEARCH("equilibre",$H75)),ISNUMBER(SEARCH("atax",$H75))),"43.03",""),IF(OR(ISNUMBER(SEARCH("champ visuel",$J75)),ISNUMBER(SEARCH("hémianops",$J75)),ISNUMBER(SEARCH("hemianops",$J75))),"42.05",""),IF(OR(ISNUMBER(SEARCH("faiblesse",$H75)),ISNUMBER(SEARCH("spastic",$H75))),"40.11",""),IF(OR(ISNUMBER(SEARCH("faiblesse",$H75)),ISNUMBER(SEARCH("spastic",$H75))),"35.02",""))</f>
        <v/>
      </c>
      <c r="Y75" s="2">
        <f>TEXTJOIN(" | ",TRUE,IF($I75="Oui","Vision: correction (lunettes/lentilles) selon bilan ophtalmo.",""),IF(OR(ISNUMBER(SEARCH("diplop",$J75)),ISNUMBER(SEARCH("occlus",$J75))),"Si diplopie: prisme/occlusion/couvre-œil si indiqué + avis oph.",""),IF(OR(ISNUMBER(SEARCH("main droite",$H75)),ISNUMBER(SEARCH("hémipar",$H75)),ISNUMBER(SEARCH("hemipar",$H75))),"Si déficit MS: privilégier véhicule à boîte automatique + aide au volant/commandes.",""),IF(OR(ISNUMBER(SEARCH("équilibre",$H75)),ISNUMBER(SEARCH("equilibre",$H75)),ISNUMBER(SEARCH("atax",$H75))),"Si instabilité: siège avec soutien latéral / accoudoir.",""),IF(OR(ISNUMBER(SEARCH("hémianops",$J75)),ISNUMBER(SEARCH("hemianops",$J75))),"Si champ visuel limité: dispositifs de vision angle mort (si compatible) + avis spécialisé.",""))</f>
        <v/>
      </c>
    </row>
    <row r="76">
      <c r="T76" s="2">
        <f>IF($E76="&lt; 6 mois","FIN_A",IF($G76="Oui","FIN_A",IF($I76="Oui",IFERROR(IF(OR(ISNUMBER(SEARCH("hémianops",$J76)),ISNUMBER(SEARCH("hemianops",$J76)),ISNUMBER(SEARCH("quadranops",$J76)),ISNUMBER(SEARCH("diplop",$J76)),ISNUMBER(SEARCH("nystag",$J76)),ISNUMBER(SEARCH("saccad",$J76))),"FIN_A","FIN_E"),"FIN_E"),IF($K76="Oui","FIN_C",IF($M76="Oui","FIN_A",IF($N76="Oui","FIN_A",IF($O76="Oui","FIN_A",IF($P76="Oui","FIN_A",IF($Q76="Oui","FIN_D",IF($R76="Non","FIN_E",IF($S76="Oui","FIN_A","FIN_D"))))))))))))</f>
        <v/>
      </c>
      <c r="X76" s="2">
        <f>TEXTJOIN(", ",TRUE,IF($I76="Oui",IF(ISNUMBER(SEARCH("lent",$J76)),"01.02",IF(ISNUMBER(SEARCH("lunett",$J76)),"01.01","01.06")),""),IF(OR(ISNUMBER(SEARCH("diplop",$J76)),ISNUMBER(SEARCH("couvre",$J76)),ISNUMBER(SEARCH("occlus",$J76))),"01.05",""),IF(OR(ISNUMBER(SEARCH("main droite",$H76)),ISNUMBER(SEARCH("faiblesse droite",$H76)),ISNUMBER(SEARCH("hémipar",$H76)),ISNUMBER(SEARCH("hemipar",$H76))),"78",""),IF(OR(ISNUMBER(SEARCH("main",$H76)),ISNUMBER(SEARCH("membre supérieur",$H76)),ISNUMBER(SEARCH("membre superieur",$H76))),"03.01",""),IF(OR(ISNUMBER(SEARCH("équilibre",$H76)),ISNUMBER(SEARCH("equilibre",$H76)),ISNUMBER(SEARCH("atax",$H76))),"43.03",""),IF(OR(ISNUMBER(SEARCH("champ visuel",$J76)),ISNUMBER(SEARCH("hémianops",$J76)),ISNUMBER(SEARCH("hemianops",$J76))),"42.05",""),IF(OR(ISNUMBER(SEARCH("faiblesse",$H76)),ISNUMBER(SEARCH("spastic",$H76))),"40.11",""),IF(OR(ISNUMBER(SEARCH("faiblesse",$H76)),ISNUMBER(SEARCH("spastic",$H76))),"35.02",""))</f>
        <v/>
      </c>
      <c r="Y76" s="2">
        <f>TEXTJOIN(" | ",TRUE,IF($I76="Oui","Vision: correction (lunettes/lentilles) selon bilan ophtalmo.",""),IF(OR(ISNUMBER(SEARCH("diplop",$J76)),ISNUMBER(SEARCH("occlus",$J76))),"Si diplopie: prisme/occlusion/couvre-œil si indiqué + avis oph.",""),IF(OR(ISNUMBER(SEARCH("main droite",$H76)),ISNUMBER(SEARCH("hémipar",$H76)),ISNUMBER(SEARCH("hemipar",$H76))),"Si déficit MS: privilégier véhicule à boîte automatique + aide au volant/commandes.",""),IF(OR(ISNUMBER(SEARCH("équilibre",$H76)),ISNUMBER(SEARCH("equilibre",$H76)),ISNUMBER(SEARCH("atax",$H76))),"Si instabilité: siège avec soutien latéral / accoudoir.",""),IF(OR(ISNUMBER(SEARCH("hémianops",$J76)),ISNUMBER(SEARCH("hemianops",$J76))),"Si champ visuel limité: dispositifs de vision angle mort (si compatible) + avis spécialisé.",""))</f>
        <v/>
      </c>
    </row>
    <row r="77">
      <c r="T77" s="2">
        <f>IF($E77="&lt; 6 mois","FIN_A",IF($G77="Oui","FIN_A",IF($I77="Oui",IFERROR(IF(OR(ISNUMBER(SEARCH("hémianops",$J77)),ISNUMBER(SEARCH("hemianops",$J77)),ISNUMBER(SEARCH("quadranops",$J77)),ISNUMBER(SEARCH("diplop",$J77)),ISNUMBER(SEARCH("nystag",$J77)),ISNUMBER(SEARCH("saccad",$J77))),"FIN_A","FIN_E"),"FIN_E"),IF($K77="Oui","FIN_C",IF($M77="Oui","FIN_A",IF($N77="Oui","FIN_A",IF($O77="Oui","FIN_A",IF($P77="Oui","FIN_A",IF($Q77="Oui","FIN_D",IF($R77="Non","FIN_E",IF($S77="Oui","FIN_A","FIN_D"))))))))))))</f>
        <v/>
      </c>
      <c r="X77" s="2">
        <f>TEXTJOIN(", ",TRUE,IF($I77="Oui",IF(ISNUMBER(SEARCH("lent",$J77)),"01.02",IF(ISNUMBER(SEARCH("lunett",$J77)),"01.01","01.06")),""),IF(OR(ISNUMBER(SEARCH("diplop",$J77)),ISNUMBER(SEARCH("couvre",$J77)),ISNUMBER(SEARCH("occlus",$J77))),"01.05",""),IF(OR(ISNUMBER(SEARCH("main droite",$H77)),ISNUMBER(SEARCH("faiblesse droite",$H77)),ISNUMBER(SEARCH("hémipar",$H77)),ISNUMBER(SEARCH("hemipar",$H77))),"78",""),IF(OR(ISNUMBER(SEARCH("main",$H77)),ISNUMBER(SEARCH("membre supérieur",$H77)),ISNUMBER(SEARCH("membre superieur",$H77))),"03.01",""),IF(OR(ISNUMBER(SEARCH("équilibre",$H77)),ISNUMBER(SEARCH("equilibre",$H77)),ISNUMBER(SEARCH("atax",$H77))),"43.03",""),IF(OR(ISNUMBER(SEARCH("champ visuel",$J77)),ISNUMBER(SEARCH("hémianops",$J77)),ISNUMBER(SEARCH("hemianops",$J77))),"42.05",""),IF(OR(ISNUMBER(SEARCH("faiblesse",$H77)),ISNUMBER(SEARCH("spastic",$H77))),"40.11",""),IF(OR(ISNUMBER(SEARCH("faiblesse",$H77)),ISNUMBER(SEARCH("spastic",$H77))),"35.02",""))</f>
        <v/>
      </c>
      <c r="Y77" s="2">
        <f>TEXTJOIN(" | ",TRUE,IF($I77="Oui","Vision: correction (lunettes/lentilles) selon bilan ophtalmo.",""),IF(OR(ISNUMBER(SEARCH("diplop",$J77)),ISNUMBER(SEARCH("occlus",$J77))),"Si diplopie: prisme/occlusion/couvre-œil si indiqué + avis oph.",""),IF(OR(ISNUMBER(SEARCH("main droite",$H77)),ISNUMBER(SEARCH("hémipar",$H77)),ISNUMBER(SEARCH("hemipar",$H77))),"Si déficit MS: privilégier véhicule à boîte automatique + aide au volant/commandes.",""),IF(OR(ISNUMBER(SEARCH("équilibre",$H77)),ISNUMBER(SEARCH("equilibre",$H77)),ISNUMBER(SEARCH("atax",$H77))),"Si instabilité: siège avec soutien latéral / accoudoir.",""),IF(OR(ISNUMBER(SEARCH("hémianops",$J77)),ISNUMBER(SEARCH("hemianops",$J77))),"Si champ visuel limité: dispositifs de vision angle mort (si compatible) + avis spécialisé.",""))</f>
        <v/>
      </c>
    </row>
    <row r="78">
      <c r="T78" s="2">
        <f>IF($E78="&lt; 6 mois","FIN_A",IF($G78="Oui","FIN_A",IF($I78="Oui",IFERROR(IF(OR(ISNUMBER(SEARCH("hémianops",$J78)),ISNUMBER(SEARCH("hemianops",$J78)),ISNUMBER(SEARCH("quadranops",$J78)),ISNUMBER(SEARCH("diplop",$J78)),ISNUMBER(SEARCH("nystag",$J78)),ISNUMBER(SEARCH("saccad",$J78))),"FIN_A","FIN_E"),"FIN_E"),IF($K78="Oui","FIN_C",IF($M78="Oui","FIN_A",IF($N78="Oui","FIN_A",IF($O78="Oui","FIN_A",IF($P78="Oui","FIN_A",IF($Q78="Oui","FIN_D",IF($R78="Non","FIN_E",IF($S78="Oui","FIN_A","FIN_D"))))))))))))</f>
        <v/>
      </c>
      <c r="X78" s="2">
        <f>TEXTJOIN(", ",TRUE,IF($I78="Oui",IF(ISNUMBER(SEARCH("lent",$J78)),"01.02",IF(ISNUMBER(SEARCH("lunett",$J78)),"01.01","01.06")),""),IF(OR(ISNUMBER(SEARCH("diplop",$J78)),ISNUMBER(SEARCH("couvre",$J78)),ISNUMBER(SEARCH("occlus",$J78))),"01.05",""),IF(OR(ISNUMBER(SEARCH("main droite",$H78)),ISNUMBER(SEARCH("faiblesse droite",$H78)),ISNUMBER(SEARCH("hémipar",$H78)),ISNUMBER(SEARCH("hemipar",$H78))),"78",""),IF(OR(ISNUMBER(SEARCH("main",$H78)),ISNUMBER(SEARCH("membre supérieur",$H78)),ISNUMBER(SEARCH("membre superieur",$H78))),"03.01",""),IF(OR(ISNUMBER(SEARCH("équilibre",$H78)),ISNUMBER(SEARCH("equilibre",$H78)),ISNUMBER(SEARCH("atax",$H78))),"43.03",""),IF(OR(ISNUMBER(SEARCH("champ visuel",$J78)),ISNUMBER(SEARCH("hémianops",$J78)),ISNUMBER(SEARCH("hemianops",$J78))),"42.05",""),IF(OR(ISNUMBER(SEARCH("faiblesse",$H78)),ISNUMBER(SEARCH("spastic",$H78))),"40.11",""),IF(OR(ISNUMBER(SEARCH("faiblesse",$H78)),ISNUMBER(SEARCH("spastic",$H78))),"35.02",""))</f>
        <v/>
      </c>
      <c r="Y78" s="2">
        <f>TEXTJOIN(" | ",TRUE,IF($I78="Oui","Vision: correction (lunettes/lentilles) selon bilan ophtalmo.",""),IF(OR(ISNUMBER(SEARCH("diplop",$J78)),ISNUMBER(SEARCH("occlus",$J78))),"Si diplopie: prisme/occlusion/couvre-œil si indiqué + avis oph.",""),IF(OR(ISNUMBER(SEARCH("main droite",$H78)),ISNUMBER(SEARCH("hémipar",$H78)),ISNUMBER(SEARCH("hemipar",$H78))),"Si déficit MS: privilégier véhicule à boîte automatique + aide au volant/commandes.",""),IF(OR(ISNUMBER(SEARCH("équilibre",$H78)),ISNUMBER(SEARCH("equilibre",$H78)),ISNUMBER(SEARCH("atax",$H78))),"Si instabilité: siège avec soutien latéral / accoudoir.",""),IF(OR(ISNUMBER(SEARCH("hémianops",$J78)),ISNUMBER(SEARCH("hemianops",$J78))),"Si champ visuel limité: dispositifs de vision angle mort (si compatible) + avis spécialisé.",""))</f>
        <v/>
      </c>
    </row>
    <row r="79">
      <c r="T79" s="2">
        <f>IF($E79="&lt; 6 mois","FIN_A",IF($G79="Oui","FIN_A",IF($I79="Oui",IFERROR(IF(OR(ISNUMBER(SEARCH("hémianops",$J79)),ISNUMBER(SEARCH("hemianops",$J79)),ISNUMBER(SEARCH("quadranops",$J79)),ISNUMBER(SEARCH("diplop",$J79)),ISNUMBER(SEARCH("nystag",$J79)),ISNUMBER(SEARCH("saccad",$J79))),"FIN_A","FIN_E"),"FIN_E"),IF($K79="Oui","FIN_C",IF($M79="Oui","FIN_A",IF($N79="Oui","FIN_A",IF($O79="Oui","FIN_A",IF($P79="Oui","FIN_A",IF($Q79="Oui","FIN_D",IF($R79="Non","FIN_E",IF($S79="Oui","FIN_A","FIN_D"))))))))))))</f>
        <v/>
      </c>
      <c r="X79" s="2">
        <f>TEXTJOIN(", ",TRUE,IF($I79="Oui",IF(ISNUMBER(SEARCH("lent",$J79)),"01.02",IF(ISNUMBER(SEARCH("lunett",$J79)),"01.01","01.06")),""),IF(OR(ISNUMBER(SEARCH("diplop",$J79)),ISNUMBER(SEARCH("couvre",$J79)),ISNUMBER(SEARCH("occlus",$J79))),"01.05",""),IF(OR(ISNUMBER(SEARCH("main droite",$H79)),ISNUMBER(SEARCH("faiblesse droite",$H79)),ISNUMBER(SEARCH("hémipar",$H79)),ISNUMBER(SEARCH("hemipar",$H79))),"78",""),IF(OR(ISNUMBER(SEARCH("main",$H79)),ISNUMBER(SEARCH("membre supérieur",$H79)),ISNUMBER(SEARCH("membre superieur",$H79))),"03.01",""),IF(OR(ISNUMBER(SEARCH("équilibre",$H79)),ISNUMBER(SEARCH("equilibre",$H79)),ISNUMBER(SEARCH("atax",$H79))),"43.03",""),IF(OR(ISNUMBER(SEARCH("champ visuel",$J79)),ISNUMBER(SEARCH("hémianops",$J79)),ISNUMBER(SEARCH("hemianops",$J79))),"42.05",""),IF(OR(ISNUMBER(SEARCH("faiblesse",$H79)),ISNUMBER(SEARCH("spastic",$H79))),"40.11",""),IF(OR(ISNUMBER(SEARCH("faiblesse",$H79)),ISNUMBER(SEARCH("spastic",$H79))),"35.02",""))</f>
        <v/>
      </c>
      <c r="Y79" s="2">
        <f>TEXTJOIN(" | ",TRUE,IF($I79="Oui","Vision: correction (lunettes/lentilles) selon bilan ophtalmo.",""),IF(OR(ISNUMBER(SEARCH("diplop",$J79)),ISNUMBER(SEARCH("occlus",$J79))),"Si diplopie: prisme/occlusion/couvre-œil si indiqué + avis oph.",""),IF(OR(ISNUMBER(SEARCH("main droite",$H79)),ISNUMBER(SEARCH("hémipar",$H79)),ISNUMBER(SEARCH("hemipar",$H79))),"Si déficit MS: privilégier véhicule à boîte automatique + aide au volant/commandes.",""),IF(OR(ISNUMBER(SEARCH("équilibre",$H79)),ISNUMBER(SEARCH("equilibre",$H79)),ISNUMBER(SEARCH("atax",$H79))),"Si instabilité: siège avec soutien latéral / accoudoir.",""),IF(OR(ISNUMBER(SEARCH("hémianops",$J79)),ISNUMBER(SEARCH("hemianops",$J79))),"Si champ visuel limité: dispositifs de vision angle mort (si compatible) + avis spécialisé.",""))</f>
        <v/>
      </c>
    </row>
    <row r="80">
      <c r="T80" s="2">
        <f>IF($E80="&lt; 6 mois","FIN_A",IF($G80="Oui","FIN_A",IF($I80="Oui",IFERROR(IF(OR(ISNUMBER(SEARCH("hémianops",$J80)),ISNUMBER(SEARCH("hemianops",$J80)),ISNUMBER(SEARCH("quadranops",$J80)),ISNUMBER(SEARCH("diplop",$J80)),ISNUMBER(SEARCH("nystag",$J80)),ISNUMBER(SEARCH("saccad",$J80))),"FIN_A","FIN_E"),"FIN_E"),IF($K80="Oui","FIN_C",IF($M80="Oui","FIN_A",IF($N80="Oui","FIN_A",IF($O80="Oui","FIN_A",IF($P80="Oui","FIN_A",IF($Q80="Oui","FIN_D",IF($R80="Non","FIN_E",IF($S80="Oui","FIN_A","FIN_D"))))))))))))</f>
        <v/>
      </c>
      <c r="X80" s="2">
        <f>TEXTJOIN(", ",TRUE,IF($I80="Oui",IF(ISNUMBER(SEARCH("lent",$J80)),"01.02",IF(ISNUMBER(SEARCH("lunett",$J80)),"01.01","01.06")),""),IF(OR(ISNUMBER(SEARCH("diplop",$J80)),ISNUMBER(SEARCH("couvre",$J80)),ISNUMBER(SEARCH("occlus",$J80))),"01.05",""),IF(OR(ISNUMBER(SEARCH("main droite",$H80)),ISNUMBER(SEARCH("faiblesse droite",$H80)),ISNUMBER(SEARCH("hémipar",$H80)),ISNUMBER(SEARCH("hemipar",$H80))),"78",""),IF(OR(ISNUMBER(SEARCH("main",$H80)),ISNUMBER(SEARCH("membre supérieur",$H80)),ISNUMBER(SEARCH("membre superieur",$H80))),"03.01",""),IF(OR(ISNUMBER(SEARCH("équilibre",$H80)),ISNUMBER(SEARCH("equilibre",$H80)),ISNUMBER(SEARCH("atax",$H80))),"43.03",""),IF(OR(ISNUMBER(SEARCH("champ visuel",$J80)),ISNUMBER(SEARCH("hémianops",$J80)),ISNUMBER(SEARCH("hemianops",$J80))),"42.05",""),IF(OR(ISNUMBER(SEARCH("faiblesse",$H80)),ISNUMBER(SEARCH("spastic",$H80))),"40.11",""),IF(OR(ISNUMBER(SEARCH("faiblesse",$H80)),ISNUMBER(SEARCH("spastic",$H80))),"35.02",""))</f>
        <v/>
      </c>
      <c r="Y80" s="2">
        <f>TEXTJOIN(" | ",TRUE,IF($I80="Oui","Vision: correction (lunettes/lentilles) selon bilan ophtalmo.",""),IF(OR(ISNUMBER(SEARCH("diplop",$J80)),ISNUMBER(SEARCH("occlus",$J80))),"Si diplopie: prisme/occlusion/couvre-œil si indiqué + avis oph.",""),IF(OR(ISNUMBER(SEARCH("main droite",$H80)),ISNUMBER(SEARCH("hémipar",$H80)),ISNUMBER(SEARCH("hemipar",$H80))),"Si déficit MS: privilégier véhicule à boîte automatique + aide au volant/commandes.",""),IF(OR(ISNUMBER(SEARCH("équilibre",$H80)),ISNUMBER(SEARCH("equilibre",$H80)),ISNUMBER(SEARCH("atax",$H80))),"Si instabilité: siège avec soutien latéral / accoudoir.",""),IF(OR(ISNUMBER(SEARCH("hémianops",$J80)),ISNUMBER(SEARCH("hemianops",$J80))),"Si champ visuel limité: dispositifs de vision angle mort (si compatible) + avis spécialisé.",""))</f>
        <v/>
      </c>
    </row>
    <row r="81">
      <c r="T81" s="2">
        <f>IF($E81="&lt; 6 mois","FIN_A",IF($G81="Oui","FIN_A",IF($I81="Oui",IFERROR(IF(OR(ISNUMBER(SEARCH("hémianops",$J81)),ISNUMBER(SEARCH("hemianops",$J81)),ISNUMBER(SEARCH("quadranops",$J81)),ISNUMBER(SEARCH("diplop",$J81)),ISNUMBER(SEARCH("nystag",$J81)),ISNUMBER(SEARCH("saccad",$J81))),"FIN_A","FIN_E"),"FIN_E"),IF($K81="Oui","FIN_C",IF($M81="Oui","FIN_A",IF($N81="Oui","FIN_A",IF($O81="Oui","FIN_A",IF($P81="Oui","FIN_A",IF($Q81="Oui","FIN_D",IF($R81="Non","FIN_E",IF($S81="Oui","FIN_A","FIN_D"))))))))))))</f>
        <v/>
      </c>
      <c r="X81" s="2">
        <f>TEXTJOIN(", ",TRUE,IF($I81="Oui",IF(ISNUMBER(SEARCH("lent",$J81)),"01.02",IF(ISNUMBER(SEARCH("lunett",$J81)),"01.01","01.06")),""),IF(OR(ISNUMBER(SEARCH("diplop",$J81)),ISNUMBER(SEARCH("couvre",$J81)),ISNUMBER(SEARCH("occlus",$J81))),"01.05",""),IF(OR(ISNUMBER(SEARCH("main droite",$H81)),ISNUMBER(SEARCH("faiblesse droite",$H81)),ISNUMBER(SEARCH("hémipar",$H81)),ISNUMBER(SEARCH("hemipar",$H81))),"78",""),IF(OR(ISNUMBER(SEARCH("main",$H81)),ISNUMBER(SEARCH("membre supérieur",$H81)),ISNUMBER(SEARCH("membre superieur",$H81))),"03.01",""),IF(OR(ISNUMBER(SEARCH("équilibre",$H81)),ISNUMBER(SEARCH("equilibre",$H81)),ISNUMBER(SEARCH("atax",$H81))),"43.03",""),IF(OR(ISNUMBER(SEARCH("champ visuel",$J81)),ISNUMBER(SEARCH("hémianops",$J81)),ISNUMBER(SEARCH("hemianops",$J81))),"42.05",""),IF(OR(ISNUMBER(SEARCH("faiblesse",$H81)),ISNUMBER(SEARCH("spastic",$H81))),"40.11",""),IF(OR(ISNUMBER(SEARCH("faiblesse",$H81)),ISNUMBER(SEARCH("spastic",$H81))),"35.02",""))</f>
        <v/>
      </c>
      <c r="Y81" s="2">
        <f>TEXTJOIN(" | ",TRUE,IF($I81="Oui","Vision: correction (lunettes/lentilles) selon bilan ophtalmo.",""),IF(OR(ISNUMBER(SEARCH("diplop",$J81)),ISNUMBER(SEARCH("occlus",$J81))),"Si diplopie: prisme/occlusion/couvre-œil si indiqué + avis oph.",""),IF(OR(ISNUMBER(SEARCH("main droite",$H81)),ISNUMBER(SEARCH("hémipar",$H81)),ISNUMBER(SEARCH("hemipar",$H81))),"Si déficit MS: privilégier véhicule à boîte automatique + aide au volant/commandes.",""),IF(OR(ISNUMBER(SEARCH("équilibre",$H81)),ISNUMBER(SEARCH("equilibre",$H81)),ISNUMBER(SEARCH("atax",$H81))),"Si instabilité: siège avec soutien latéral / accoudoir.",""),IF(OR(ISNUMBER(SEARCH("hémianops",$J81)),ISNUMBER(SEARCH("hemianops",$J81))),"Si champ visuel limité: dispositifs de vision angle mort (si compatible) + avis spécialisé.",""))</f>
        <v/>
      </c>
    </row>
    <row r="82">
      <c r="T82" s="2">
        <f>IF($E82="&lt; 6 mois","FIN_A",IF($G82="Oui","FIN_A",IF($I82="Oui",IFERROR(IF(OR(ISNUMBER(SEARCH("hémianops",$J82)),ISNUMBER(SEARCH("hemianops",$J82)),ISNUMBER(SEARCH("quadranops",$J82)),ISNUMBER(SEARCH("diplop",$J82)),ISNUMBER(SEARCH("nystag",$J82)),ISNUMBER(SEARCH("saccad",$J82))),"FIN_A","FIN_E"),"FIN_E"),IF($K82="Oui","FIN_C",IF($M82="Oui","FIN_A",IF($N82="Oui","FIN_A",IF($O82="Oui","FIN_A",IF($P82="Oui","FIN_A",IF($Q82="Oui","FIN_D",IF($R82="Non","FIN_E",IF($S82="Oui","FIN_A","FIN_D"))))))))))))</f>
        <v/>
      </c>
      <c r="X82" s="2">
        <f>TEXTJOIN(", ",TRUE,IF($I82="Oui",IF(ISNUMBER(SEARCH("lent",$J82)),"01.02",IF(ISNUMBER(SEARCH("lunett",$J82)),"01.01","01.06")),""),IF(OR(ISNUMBER(SEARCH("diplop",$J82)),ISNUMBER(SEARCH("couvre",$J82)),ISNUMBER(SEARCH("occlus",$J82))),"01.05",""),IF(OR(ISNUMBER(SEARCH("main droite",$H82)),ISNUMBER(SEARCH("faiblesse droite",$H82)),ISNUMBER(SEARCH("hémipar",$H82)),ISNUMBER(SEARCH("hemipar",$H82))),"78",""),IF(OR(ISNUMBER(SEARCH("main",$H82)),ISNUMBER(SEARCH("membre supérieur",$H82)),ISNUMBER(SEARCH("membre superieur",$H82))),"03.01",""),IF(OR(ISNUMBER(SEARCH("équilibre",$H82)),ISNUMBER(SEARCH("equilibre",$H82)),ISNUMBER(SEARCH("atax",$H82))),"43.03",""),IF(OR(ISNUMBER(SEARCH("champ visuel",$J82)),ISNUMBER(SEARCH("hémianops",$J82)),ISNUMBER(SEARCH("hemianops",$J82))),"42.05",""),IF(OR(ISNUMBER(SEARCH("faiblesse",$H82)),ISNUMBER(SEARCH("spastic",$H82))),"40.11",""),IF(OR(ISNUMBER(SEARCH("faiblesse",$H82)),ISNUMBER(SEARCH("spastic",$H82))),"35.02",""))</f>
        <v/>
      </c>
      <c r="Y82" s="2">
        <f>TEXTJOIN(" | ",TRUE,IF($I82="Oui","Vision: correction (lunettes/lentilles) selon bilan ophtalmo.",""),IF(OR(ISNUMBER(SEARCH("diplop",$J82)),ISNUMBER(SEARCH("occlus",$J82))),"Si diplopie: prisme/occlusion/couvre-œil si indiqué + avis oph.",""),IF(OR(ISNUMBER(SEARCH("main droite",$H82)),ISNUMBER(SEARCH("hémipar",$H82)),ISNUMBER(SEARCH("hemipar",$H82))),"Si déficit MS: privilégier véhicule à boîte automatique + aide au volant/commandes.",""),IF(OR(ISNUMBER(SEARCH("équilibre",$H82)),ISNUMBER(SEARCH("equilibre",$H82)),ISNUMBER(SEARCH("atax",$H82))),"Si instabilité: siège avec soutien latéral / accoudoir.",""),IF(OR(ISNUMBER(SEARCH("hémianops",$J82)),ISNUMBER(SEARCH("hemianops",$J82))),"Si champ visuel limité: dispositifs de vision angle mort (si compatible) + avis spécialisé.",""))</f>
        <v/>
      </c>
    </row>
    <row r="83">
      <c r="T83" s="2">
        <f>IF($E83="&lt; 6 mois","FIN_A",IF($G83="Oui","FIN_A",IF($I83="Oui",IFERROR(IF(OR(ISNUMBER(SEARCH("hémianops",$J83)),ISNUMBER(SEARCH("hemianops",$J83)),ISNUMBER(SEARCH("quadranops",$J83)),ISNUMBER(SEARCH("diplop",$J83)),ISNUMBER(SEARCH("nystag",$J83)),ISNUMBER(SEARCH("saccad",$J83))),"FIN_A","FIN_E"),"FIN_E"),IF($K83="Oui","FIN_C",IF($M83="Oui","FIN_A",IF($N83="Oui","FIN_A",IF($O83="Oui","FIN_A",IF($P83="Oui","FIN_A",IF($Q83="Oui","FIN_D",IF($R83="Non","FIN_E",IF($S83="Oui","FIN_A","FIN_D"))))))))))))</f>
        <v/>
      </c>
      <c r="X83" s="2">
        <f>TEXTJOIN(", ",TRUE,IF($I83="Oui",IF(ISNUMBER(SEARCH("lent",$J83)),"01.02",IF(ISNUMBER(SEARCH("lunett",$J83)),"01.01","01.06")),""),IF(OR(ISNUMBER(SEARCH("diplop",$J83)),ISNUMBER(SEARCH("couvre",$J83)),ISNUMBER(SEARCH("occlus",$J83))),"01.05",""),IF(OR(ISNUMBER(SEARCH("main droite",$H83)),ISNUMBER(SEARCH("faiblesse droite",$H83)),ISNUMBER(SEARCH("hémipar",$H83)),ISNUMBER(SEARCH("hemipar",$H83))),"78",""),IF(OR(ISNUMBER(SEARCH("main",$H83)),ISNUMBER(SEARCH("membre supérieur",$H83)),ISNUMBER(SEARCH("membre superieur",$H83))),"03.01",""),IF(OR(ISNUMBER(SEARCH("équilibre",$H83)),ISNUMBER(SEARCH("equilibre",$H83)),ISNUMBER(SEARCH("atax",$H83))),"43.03",""),IF(OR(ISNUMBER(SEARCH("champ visuel",$J83)),ISNUMBER(SEARCH("hémianops",$J83)),ISNUMBER(SEARCH("hemianops",$J83))),"42.05",""),IF(OR(ISNUMBER(SEARCH("faiblesse",$H83)),ISNUMBER(SEARCH("spastic",$H83))),"40.11",""),IF(OR(ISNUMBER(SEARCH("faiblesse",$H83)),ISNUMBER(SEARCH("spastic",$H83))),"35.02",""))</f>
        <v/>
      </c>
      <c r="Y83" s="2">
        <f>TEXTJOIN(" | ",TRUE,IF($I83="Oui","Vision: correction (lunettes/lentilles) selon bilan ophtalmo.",""),IF(OR(ISNUMBER(SEARCH("diplop",$J83)),ISNUMBER(SEARCH("occlus",$J83))),"Si diplopie: prisme/occlusion/couvre-œil si indiqué + avis oph.",""),IF(OR(ISNUMBER(SEARCH("main droite",$H83)),ISNUMBER(SEARCH("hémipar",$H83)),ISNUMBER(SEARCH("hemipar",$H83))),"Si déficit MS: privilégier véhicule à boîte automatique + aide au volant/commandes.",""),IF(OR(ISNUMBER(SEARCH("équilibre",$H83)),ISNUMBER(SEARCH("equilibre",$H83)),ISNUMBER(SEARCH("atax",$H83))),"Si instabilité: siège avec soutien latéral / accoudoir.",""),IF(OR(ISNUMBER(SEARCH("hémianops",$J83)),ISNUMBER(SEARCH("hemianops",$J83))),"Si champ visuel limité: dispositifs de vision angle mort (si compatible) + avis spécialisé.",""))</f>
        <v/>
      </c>
    </row>
    <row r="84">
      <c r="T84" s="2">
        <f>IF($E84="&lt; 6 mois","FIN_A",IF($G84="Oui","FIN_A",IF($I84="Oui",IFERROR(IF(OR(ISNUMBER(SEARCH("hémianops",$J84)),ISNUMBER(SEARCH("hemianops",$J84)),ISNUMBER(SEARCH("quadranops",$J84)),ISNUMBER(SEARCH("diplop",$J84)),ISNUMBER(SEARCH("nystag",$J84)),ISNUMBER(SEARCH("saccad",$J84))),"FIN_A","FIN_E"),"FIN_E"),IF($K84="Oui","FIN_C",IF($M84="Oui","FIN_A",IF($N84="Oui","FIN_A",IF($O84="Oui","FIN_A",IF($P84="Oui","FIN_A",IF($Q84="Oui","FIN_D",IF($R84="Non","FIN_E",IF($S84="Oui","FIN_A","FIN_D"))))))))))))</f>
        <v/>
      </c>
      <c r="X84" s="2">
        <f>TEXTJOIN(", ",TRUE,IF($I84="Oui",IF(ISNUMBER(SEARCH("lent",$J84)),"01.02",IF(ISNUMBER(SEARCH("lunett",$J84)),"01.01","01.06")),""),IF(OR(ISNUMBER(SEARCH("diplop",$J84)),ISNUMBER(SEARCH("couvre",$J84)),ISNUMBER(SEARCH("occlus",$J84))),"01.05",""),IF(OR(ISNUMBER(SEARCH("main droite",$H84)),ISNUMBER(SEARCH("faiblesse droite",$H84)),ISNUMBER(SEARCH("hémipar",$H84)),ISNUMBER(SEARCH("hemipar",$H84))),"78",""),IF(OR(ISNUMBER(SEARCH("main",$H84)),ISNUMBER(SEARCH("membre supérieur",$H84)),ISNUMBER(SEARCH("membre superieur",$H84))),"03.01",""),IF(OR(ISNUMBER(SEARCH("équilibre",$H84)),ISNUMBER(SEARCH("equilibre",$H84)),ISNUMBER(SEARCH("atax",$H84))),"43.03",""),IF(OR(ISNUMBER(SEARCH("champ visuel",$J84)),ISNUMBER(SEARCH("hémianops",$J84)),ISNUMBER(SEARCH("hemianops",$J84))),"42.05",""),IF(OR(ISNUMBER(SEARCH("faiblesse",$H84)),ISNUMBER(SEARCH("spastic",$H84))),"40.11",""),IF(OR(ISNUMBER(SEARCH("faiblesse",$H84)),ISNUMBER(SEARCH("spastic",$H84))),"35.02",""))</f>
        <v/>
      </c>
      <c r="Y84" s="2">
        <f>TEXTJOIN(" | ",TRUE,IF($I84="Oui","Vision: correction (lunettes/lentilles) selon bilan ophtalmo.",""),IF(OR(ISNUMBER(SEARCH("diplop",$J84)),ISNUMBER(SEARCH("occlus",$J84))),"Si diplopie: prisme/occlusion/couvre-œil si indiqué + avis oph.",""),IF(OR(ISNUMBER(SEARCH("main droite",$H84)),ISNUMBER(SEARCH("hémipar",$H84)),ISNUMBER(SEARCH("hemipar",$H84))),"Si déficit MS: privilégier véhicule à boîte automatique + aide au volant/commandes.",""),IF(OR(ISNUMBER(SEARCH("équilibre",$H84)),ISNUMBER(SEARCH("equilibre",$H84)),ISNUMBER(SEARCH("atax",$H84))),"Si instabilité: siège avec soutien latéral / accoudoir.",""),IF(OR(ISNUMBER(SEARCH("hémianops",$J84)),ISNUMBER(SEARCH("hemianops",$J84))),"Si champ visuel limité: dispositifs de vision angle mort (si compatible) + avis spécialisé.",""))</f>
        <v/>
      </c>
    </row>
    <row r="85">
      <c r="T85" s="2">
        <f>IF($E85="&lt; 6 mois","FIN_A",IF($G85="Oui","FIN_A",IF($I85="Oui",IFERROR(IF(OR(ISNUMBER(SEARCH("hémianops",$J85)),ISNUMBER(SEARCH("hemianops",$J85)),ISNUMBER(SEARCH("quadranops",$J85)),ISNUMBER(SEARCH("diplop",$J85)),ISNUMBER(SEARCH("nystag",$J85)),ISNUMBER(SEARCH("saccad",$J85))),"FIN_A","FIN_E"),"FIN_E"),IF($K85="Oui","FIN_C",IF($M85="Oui","FIN_A",IF($N85="Oui","FIN_A",IF($O85="Oui","FIN_A",IF($P85="Oui","FIN_A",IF($Q85="Oui","FIN_D",IF($R85="Non","FIN_E",IF($S85="Oui","FIN_A","FIN_D"))))))))))))</f>
        <v/>
      </c>
      <c r="X85" s="2">
        <f>TEXTJOIN(", ",TRUE,IF($I85="Oui",IF(ISNUMBER(SEARCH("lent",$J85)),"01.02",IF(ISNUMBER(SEARCH("lunett",$J85)),"01.01","01.06")),""),IF(OR(ISNUMBER(SEARCH("diplop",$J85)),ISNUMBER(SEARCH("couvre",$J85)),ISNUMBER(SEARCH("occlus",$J85))),"01.05",""),IF(OR(ISNUMBER(SEARCH("main droite",$H85)),ISNUMBER(SEARCH("faiblesse droite",$H85)),ISNUMBER(SEARCH("hémipar",$H85)),ISNUMBER(SEARCH("hemipar",$H85))),"78",""),IF(OR(ISNUMBER(SEARCH("main",$H85)),ISNUMBER(SEARCH("membre supérieur",$H85)),ISNUMBER(SEARCH("membre superieur",$H85))),"03.01",""),IF(OR(ISNUMBER(SEARCH("équilibre",$H85)),ISNUMBER(SEARCH("equilibre",$H85)),ISNUMBER(SEARCH("atax",$H85))),"43.03",""),IF(OR(ISNUMBER(SEARCH("champ visuel",$J85)),ISNUMBER(SEARCH("hémianops",$J85)),ISNUMBER(SEARCH("hemianops",$J85))),"42.05",""),IF(OR(ISNUMBER(SEARCH("faiblesse",$H85)),ISNUMBER(SEARCH("spastic",$H85))),"40.11",""),IF(OR(ISNUMBER(SEARCH("faiblesse",$H85)),ISNUMBER(SEARCH("spastic",$H85))),"35.02",""))</f>
        <v/>
      </c>
      <c r="Y85" s="2">
        <f>TEXTJOIN(" | ",TRUE,IF($I85="Oui","Vision: correction (lunettes/lentilles) selon bilan ophtalmo.",""),IF(OR(ISNUMBER(SEARCH("diplop",$J85)),ISNUMBER(SEARCH("occlus",$J85))),"Si diplopie: prisme/occlusion/couvre-œil si indiqué + avis oph.",""),IF(OR(ISNUMBER(SEARCH("main droite",$H85)),ISNUMBER(SEARCH("hémipar",$H85)),ISNUMBER(SEARCH("hemipar",$H85))),"Si déficit MS: privilégier véhicule à boîte automatique + aide au volant/commandes.",""),IF(OR(ISNUMBER(SEARCH("équilibre",$H85)),ISNUMBER(SEARCH("equilibre",$H85)),ISNUMBER(SEARCH("atax",$H85))),"Si instabilité: siège avec soutien latéral / accoudoir.",""),IF(OR(ISNUMBER(SEARCH("hémianops",$J85)),ISNUMBER(SEARCH("hemianops",$J85))),"Si champ visuel limité: dispositifs de vision angle mort (si compatible) + avis spécialisé.",""))</f>
        <v/>
      </c>
    </row>
    <row r="86">
      <c r="T86" s="2">
        <f>IF($E86="&lt; 6 mois","FIN_A",IF($G86="Oui","FIN_A",IF($I86="Oui",IFERROR(IF(OR(ISNUMBER(SEARCH("hémianops",$J86)),ISNUMBER(SEARCH("hemianops",$J86)),ISNUMBER(SEARCH("quadranops",$J86)),ISNUMBER(SEARCH("diplop",$J86)),ISNUMBER(SEARCH("nystag",$J86)),ISNUMBER(SEARCH("saccad",$J86))),"FIN_A","FIN_E"),"FIN_E"),IF($K86="Oui","FIN_C",IF($M86="Oui","FIN_A",IF($N86="Oui","FIN_A",IF($O86="Oui","FIN_A",IF($P86="Oui","FIN_A",IF($Q86="Oui","FIN_D",IF($R86="Non","FIN_E",IF($S86="Oui","FIN_A","FIN_D"))))))))))))</f>
        <v/>
      </c>
      <c r="X86" s="2">
        <f>TEXTJOIN(", ",TRUE,IF($I86="Oui",IF(ISNUMBER(SEARCH("lent",$J86)),"01.02",IF(ISNUMBER(SEARCH("lunett",$J86)),"01.01","01.06")),""),IF(OR(ISNUMBER(SEARCH("diplop",$J86)),ISNUMBER(SEARCH("couvre",$J86)),ISNUMBER(SEARCH("occlus",$J86))),"01.05",""),IF(OR(ISNUMBER(SEARCH("main droite",$H86)),ISNUMBER(SEARCH("faiblesse droite",$H86)),ISNUMBER(SEARCH("hémipar",$H86)),ISNUMBER(SEARCH("hemipar",$H86))),"78",""),IF(OR(ISNUMBER(SEARCH("main",$H86)),ISNUMBER(SEARCH("membre supérieur",$H86)),ISNUMBER(SEARCH("membre superieur",$H86))),"03.01",""),IF(OR(ISNUMBER(SEARCH("équilibre",$H86)),ISNUMBER(SEARCH("equilibre",$H86)),ISNUMBER(SEARCH("atax",$H86))),"43.03",""),IF(OR(ISNUMBER(SEARCH("champ visuel",$J86)),ISNUMBER(SEARCH("hémianops",$J86)),ISNUMBER(SEARCH("hemianops",$J86))),"42.05",""),IF(OR(ISNUMBER(SEARCH("faiblesse",$H86)),ISNUMBER(SEARCH("spastic",$H86))),"40.11",""),IF(OR(ISNUMBER(SEARCH("faiblesse",$H86)),ISNUMBER(SEARCH("spastic",$H86))),"35.02",""))</f>
        <v/>
      </c>
      <c r="Y86" s="2">
        <f>TEXTJOIN(" | ",TRUE,IF($I86="Oui","Vision: correction (lunettes/lentilles) selon bilan ophtalmo.",""),IF(OR(ISNUMBER(SEARCH("diplop",$J86)),ISNUMBER(SEARCH("occlus",$J86))),"Si diplopie: prisme/occlusion/couvre-œil si indiqué + avis oph.",""),IF(OR(ISNUMBER(SEARCH("main droite",$H86)),ISNUMBER(SEARCH("hémipar",$H86)),ISNUMBER(SEARCH("hemipar",$H86))),"Si déficit MS: privilégier véhicule à boîte automatique + aide au volant/commandes.",""),IF(OR(ISNUMBER(SEARCH("équilibre",$H86)),ISNUMBER(SEARCH("equilibre",$H86)),ISNUMBER(SEARCH("atax",$H86))),"Si instabilité: siège avec soutien latéral / accoudoir.",""),IF(OR(ISNUMBER(SEARCH("hémianops",$J86)),ISNUMBER(SEARCH("hemianops",$J86))),"Si champ visuel limité: dispositifs de vision angle mort (si compatible) + avis spécialisé.",""))</f>
        <v/>
      </c>
    </row>
    <row r="87">
      <c r="T87" s="2">
        <f>IF($E87="&lt; 6 mois","FIN_A",IF($G87="Oui","FIN_A",IF($I87="Oui",IFERROR(IF(OR(ISNUMBER(SEARCH("hémianops",$J87)),ISNUMBER(SEARCH("hemianops",$J87)),ISNUMBER(SEARCH("quadranops",$J87)),ISNUMBER(SEARCH("diplop",$J87)),ISNUMBER(SEARCH("nystag",$J87)),ISNUMBER(SEARCH("saccad",$J87))),"FIN_A","FIN_E"),"FIN_E"),IF($K87="Oui","FIN_C",IF($M87="Oui","FIN_A",IF($N87="Oui","FIN_A",IF($O87="Oui","FIN_A",IF($P87="Oui","FIN_A",IF($Q87="Oui","FIN_D",IF($R87="Non","FIN_E",IF($S87="Oui","FIN_A","FIN_D"))))))))))))</f>
        <v/>
      </c>
      <c r="X87" s="2">
        <f>TEXTJOIN(", ",TRUE,IF($I87="Oui",IF(ISNUMBER(SEARCH("lent",$J87)),"01.02",IF(ISNUMBER(SEARCH("lunett",$J87)),"01.01","01.06")),""),IF(OR(ISNUMBER(SEARCH("diplop",$J87)),ISNUMBER(SEARCH("couvre",$J87)),ISNUMBER(SEARCH("occlus",$J87))),"01.05",""),IF(OR(ISNUMBER(SEARCH("main droite",$H87)),ISNUMBER(SEARCH("faiblesse droite",$H87)),ISNUMBER(SEARCH("hémipar",$H87)),ISNUMBER(SEARCH("hemipar",$H87))),"78",""),IF(OR(ISNUMBER(SEARCH("main",$H87)),ISNUMBER(SEARCH("membre supérieur",$H87)),ISNUMBER(SEARCH("membre superieur",$H87))),"03.01",""),IF(OR(ISNUMBER(SEARCH("équilibre",$H87)),ISNUMBER(SEARCH("equilibre",$H87)),ISNUMBER(SEARCH("atax",$H87))),"43.03",""),IF(OR(ISNUMBER(SEARCH("champ visuel",$J87)),ISNUMBER(SEARCH("hémianops",$J87)),ISNUMBER(SEARCH("hemianops",$J87))),"42.05",""),IF(OR(ISNUMBER(SEARCH("faiblesse",$H87)),ISNUMBER(SEARCH("spastic",$H87))),"40.11",""),IF(OR(ISNUMBER(SEARCH("faiblesse",$H87)),ISNUMBER(SEARCH("spastic",$H87))),"35.02",""))</f>
        <v/>
      </c>
      <c r="Y87" s="2">
        <f>TEXTJOIN(" | ",TRUE,IF($I87="Oui","Vision: correction (lunettes/lentilles) selon bilan ophtalmo.",""),IF(OR(ISNUMBER(SEARCH("diplop",$J87)),ISNUMBER(SEARCH("occlus",$J87))),"Si diplopie: prisme/occlusion/couvre-œil si indiqué + avis oph.",""),IF(OR(ISNUMBER(SEARCH("main droite",$H87)),ISNUMBER(SEARCH("hémipar",$H87)),ISNUMBER(SEARCH("hemipar",$H87))),"Si déficit MS: privilégier véhicule à boîte automatique + aide au volant/commandes.",""),IF(OR(ISNUMBER(SEARCH("équilibre",$H87)),ISNUMBER(SEARCH("equilibre",$H87)),ISNUMBER(SEARCH("atax",$H87))),"Si instabilité: siège avec soutien latéral / accoudoir.",""),IF(OR(ISNUMBER(SEARCH("hémianops",$J87)),ISNUMBER(SEARCH("hemianops",$J87))),"Si champ visuel limité: dispositifs de vision angle mort (si compatible) + avis spécialisé.",""))</f>
        <v/>
      </c>
    </row>
    <row r="88">
      <c r="T88" s="2">
        <f>IF($E88="&lt; 6 mois","FIN_A",IF($G88="Oui","FIN_A",IF($I88="Oui",IFERROR(IF(OR(ISNUMBER(SEARCH("hémianops",$J88)),ISNUMBER(SEARCH("hemianops",$J88)),ISNUMBER(SEARCH("quadranops",$J88)),ISNUMBER(SEARCH("diplop",$J88)),ISNUMBER(SEARCH("nystag",$J88)),ISNUMBER(SEARCH("saccad",$J88))),"FIN_A","FIN_E"),"FIN_E"),IF($K88="Oui","FIN_C",IF($M88="Oui","FIN_A",IF($N88="Oui","FIN_A",IF($O88="Oui","FIN_A",IF($P88="Oui","FIN_A",IF($Q88="Oui","FIN_D",IF($R88="Non","FIN_E",IF($S88="Oui","FIN_A","FIN_D"))))))))))))</f>
        <v/>
      </c>
      <c r="X88" s="2">
        <f>TEXTJOIN(", ",TRUE,IF($I88="Oui",IF(ISNUMBER(SEARCH("lent",$J88)),"01.02",IF(ISNUMBER(SEARCH("lunett",$J88)),"01.01","01.06")),""),IF(OR(ISNUMBER(SEARCH("diplop",$J88)),ISNUMBER(SEARCH("couvre",$J88)),ISNUMBER(SEARCH("occlus",$J88))),"01.05",""),IF(OR(ISNUMBER(SEARCH("main droite",$H88)),ISNUMBER(SEARCH("faiblesse droite",$H88)),ISNUMBER(SEARCH("hémipar",$H88)),ISNUMBER(SEARCH("hemipar",$H88))),"78",""),IF(OR(ISNUMBER(SEARCH("main",$H88)),ISNUMBER(SEARCH("membre supérieur",$H88)),ISNUMBER(SEARCH("membre superieur",$H88))),"03.01",""),IF(OR(ISNUMBER(SEARCH("équilibre",$H88)),ISNUMBER(SEARCH("equilibre",$H88)),ISNUMBER(SEARCH("atax",$H88))),"43.03",""),IF(OR(ISNUMBER(SEARCH("champ visuel",$J88)),ISNUMBER(SEARCH("hémianops",$J88)),ISNUMBER(SEARCH("hemianops",$J88))),"42.05",""),IF(OR(ISNUMBER(SEARCH("faiblesse",$H88)),ISNUMBER(SEARCH("spastic",$H88))),"40.11",""),IF(OR(ISNUMBER(SEARCH("faiblesse",$H88)),ISNUMBER(SEARCH("spastic",$H88))),"35.02",""))</f>
        <v/>
      </c>
      <c r="Y88" s="2">
        <f>TEXTJOIN(" | ",TRUE,IF($I88="Oui","Vision: correction (lunettes/lentilles) selon bilan ophtalmo.",""),IF(OR(ISNUMBER(SEARCH("diplop",$J88)),ISNUMBER(SEARCH("occlus",$J88))),"Si diplopie: prisme/occlusion/couvre-œil si indiqué + avis oph.",""),IF(OR(ISNUMBER(SEARCH("main droite",$H88)),ISNUMBER(SEARCH("hémipar",$H88)),ISNUMBER(SEARCH("hemipar",$H88))),"Si déficit MS: privilégier véhicule à boîte automatique + aide au volant/commandes.",""),IF(OR(ISNUMBER(SEARCH("équilibre",$H88)),ISNUMBER(SEARCH("equilibre",$H88)),ISNUMBER(SEARCH("atax",$H88))),"Si instabilité: siège avec soutien latéral / accoudoir.",""),IF(OR(ISNUMBER(SEARCH("hémianops",$J88)),ISNUMBER(SEARCH("hemianops",$J88))),"Si champ visuel limité: dispositifs de vision angle mort (si compatible) + avis spécialisé.",""))</f>
        <v/>
      </c>
    </row>
    <row r="89">
      <c r="T89" s="2">
        <f>IF($E89="&lt; 6 mois","FIN_A",IF($G89="Oui","FIN_A",IF($I89="Oui",IFERROR(IF(OR(ISNUMBER(SEARCH("hémianops",$J89)),ISNUMBER(SEARCH("hemianops",$J89)),ISNUMBER(SEARCH("quadranops",$J89)),ISNUMBER(SEARCH("diplop",$J89)),ISNUMBER(SEARCH("nystag",$J89)),ISNUMBER(SEARCH("saccad",$J89))),"FIN_A","FIN_E"),"FIN_E"),IF($K89="Oui","FIN_C",IF($M89="Oui","FIN_A",IF($N89="Oui","FIN_A",IF($O89="Oui","FIN_A",IF($P89="Oui","FIN_A",IF($Q89="Oui","FIN_D",IF($R89="Non","FIN_E",IF($S89="Oui","FIN_A","FIN_D"))))))))))))</f>
        <v/>
      </c>
      <c r="X89" s="2">
        <f>TEXTJOIN(", ",TRUE,IF($I89="Oui",IF(ISNUMBER(SEARCH("lent",$J89)),"01.02",IF(ISNUMBER(SEARCH("lunett",$J89)),"01.01","01.06")),""),IF(OR(ISNUMBER(SEARCH("diplop",$J89)),ISNUMBER(SEARCH("couvre",$J89)),ISNUMBER(SEARCH("occlus",$J89))),"01.05",""),IF(OR(ISNUMBER(SEARCH("main droite",$H89)),ISNUMBER(SEARCH("faiblesse droite",$H89)),ISNUMBER(SEARCH("hémipar",$H89)),ISNUMBER(SEARCH("hemipar",$H89))),"78",""),IF(OR(ISNUMBER(SEARCH("main",$H89)),ISNUMBER(SEARCH("membre supérieur",$H89)),ISNUMBER(SEARCH("membre superieur",$H89))),"03.01",""),IF(OR(ISNUMBER(SEARCH("équilibre",$H89)),ISNUMBER(SEARCH("equilibre",$H89)),ISNUMBER(SEARCH("atax",$H89))),"43.03",""),IF(OR(ISNUMBER(SEARCH("champ visuel",$J89)),ISNUMBER(SEARCH("hémianops",$J89)),ISNUMBER(SEARCH("hemianops",$J89))),"42.05",""),IF(OR(ISNUMBER(SEARCH("faiblesse",$H89)),ISNUMBER(SEARCH("spastic",$H89))),"40.11",""),IF(OR(ISNUMBER(SEARCH("faiblesse",$H89)),ISNUMBER(SEARCH("spastic",$H89))),"35.02",""))</f>
        <v/>
      </c>
      <c r="Y89" s="2">
        <f>TEXTJOIN(" | ",TRUE,IF($I89="Oui","Vision: correction (lunettes/lentilles) selon bilan ophtalmo.",""),IF(OR(ISNUMBER(SEARCH("diplop",$J89)),ISNUMBER(SEARCH("occlus",$J89))),"Si diplopie: prisme/occlusion/couvre-œil si indiqué + avis oph.",""),IF(OR(ISNUMBER(SEARCH("main droite",$H89)),ISNUMBER(SEARCH("hémipar",$H89)),ISNUMBER(SEARCH("hemipar",$H89))),"Si déficit MS: privilégier véhicule à boîte automatique + aide au volant/commandes.",""),IF(OR(ISNUMBER(SEARCH("équilibre",$H89)),ISNUMBER(SEARCH("equilibre",$H89)),ISNUMBER(SEARCH("atax",$H89))),"Si instabilité: siège avec soutien latéral / accoudoir.",""),IF(OR(ISNUMBER(SEARCH("hémianops",$J89)),ISNUMBER(SEARCH("hemianops",$J89))),"Si champ visuel limité: dispositifs de vision angle mort (si compatible) + avis spécialisé.",""))</f>
        <v/>
      </c>
    </row>
    <row r="90">
      <c r="T90" s="2">
        <f>IF($E90="&lt; 6 mois","FIN_A",IF($G90="Oui","FIN_A",IF($I90="Oui",IFERROR(IF(OR(ISNUMBER(SEARCH("hémianops",$J90)),ISNUMBER(SEARCH("hemianops",$J90)),ISNUMBER(SEARCH("quadranops",$J90)),ISNUMBER(SEARCH("diplop",$J90)),ISNUMBER(SEARCH("nystag",$J90)),ISNUMBER(SEARCH("saccad",$J90))),"FIN_A","FIN_E"),"FIN_E"),IF($K90="Oui","FIN_C",IF($M90="Oui","FIN_A",IF($N90="Oui","FIN_A",IF($O90="Oui","FIN_A",IF($P90="Oui","FIN_A",IF($Q90="Oui","FIN_D",IF($R90="Non","FIN_E",IF($S90="Oui","FIN_A","FIN_D"))))))))))))</f>
        <v/>
      </c>
      <c r="X90" s="2">
        <f>TEXTJOIN(", ",TRUE,IF($I90="Oui",IF(ISNUMBER(SEARCH("lent",$J90)),"01.02",IF(ISNUMBER(SEARCH("lunett",$J90)),"01.01","01.06")),""),IF(OR(ISNUMBER(SEARCH("diplop",$J90)),ISNUMBER(SEARCH("couvre",$J90)),ISNUMBER(SEARCH("occlus",$J90))),"01.05",""),IF(OR(ISNUMBER(SEARCH("main droite",$H90)),ISNUMBER(SEARCH("faiblesse droite",$H90)),ISNUMBER(SEARCH("hémipar",$H90)),ISNUMBER(SEARCH("hemipar",$H90))),"78",""),IF(OR(ISNUMBER(SEARCH("main",$H90)),ISNUMBER(SEARCH("membre supérieur",$H90)),ISNUMBER(SEARCH("membre superieur",$H90))),"03.01",""),IF(OR(ISNUMBER(SEARCH("équilibre",$H90)),ISNUMBER(SEARCH("equilibre",$H90)),ISNUMBER(SEARCH("atax",$H90))),"43.03",""),IF(OR(ISNUMBER(SEARCH("champ visuel",$J90)),ISNUMBER(SEARCH("hémianops",$J90)),ISNUMBER(SEARCH("hemianops",$J90))),"42.05",""),IF(OR(ISNUMBER(SEARCH("faiblesse",$H90)),ISNUMBER(SEARCH("spastic",$H90))),"40.11",""),IF(OR(ISNUMBER(SEARCH("faiblesse",$H90)),ISNUMBER(SEARCH("spastic",$H90))),"35.02",""))</f>
        <v/>
      </c>
      <c r="Y90" s="2">
        <f>TEXTJOIN(" | ",TRUE,IF($I90="Oui","Vision: correction (lunettes/lentilles) selon bilan ophtalmo.",""),IF(OR(ISNUMBER(SEARCH("diplop",$J90)),ISNUMBER(SEARCH("occlus",$J90))),"Si diplopie: prisme/occlusion/couvre-œil si indiqué + avis oph.",""),IF(OR(ISNUMBER(SEARCH("main droite",$H90)),ISNUMBER(SEARCH("hémipar",$H90)),ISNUMBER(SEARCH("hemipar",$H90))),"Si déficit MS: privilégier véhicule à boîte automatique + aide au volant/commandes.",""),IF(OR(ISNUMBER(SEARCH("équilibre",$H90)),ISNUMBER(SEARCH("equilibre",$H90)),ISNUMBER(SEARCH("atax",$H90))),"Si instabilité: siège avec soutien latéral / accoudoir.",""),IF(OR(ISNUMBER(SEARCH("hémianops",$J90)),ISNUMBER(SEARCH("hemianops",$J90))),"Si champ visuel limité: dispositifs de vision angle mort (si compatible) + avis spécialisé.",""))</f>
        <v/>
      </c>
    </row>
    <row r="91">
      <c r="T91" s="2">
        <f>IF($E91="&lt; 6 mois","FIN_A",IF($G91="Oui","FIN_A",IF($I91="Oui",IFERROR(IF(OR(ISNUMBER(SEARCH("hémianops",$J91)),ISNUMBER(SEARCH("hemianops",$J91)),ISNUMBER(SEARCH("quadranops",$J91)),ISNUMBER(SEARCH("diplop",$J91)),ISNUMBER(SEARCH("nystag",$J91)),ISNUMBER(SEARCH("saccad",$J91))),"FIN_A","FIN_E"),"FIN_E"),IF($K91="Oui","FIN_C",IF($M91="Oui","FIN_A",IF($N91="Oui","FIN_A",IF($O91="Oui","FIN_A",IF($P91="Oui","FIN_A",IF($Q91="Oui","FIN_D",IF($R91="Non","FIN_E",IF($S91="Oui","FIN_A","FIN_D"))))))))))))</f>
        <v/>
      </c>
      <c r="X91" s="2">
        <f>TEXTJOIN(", ",TRUE,IF($I91="Oui",IF(ISNUMBER(SEARCH("lent",$J91)),"01.02",IF(ISNUMBER(SEARCH("lunett",$J91)),"01.01","01.06")),""),IF(OR(ISNUMBER(SEARCH("diplop",$J91)),ISNUMBER(SEARCH("couvre",$J91)),ISNUMBER(SEARCH("occlus",$J91))),"01.05",""),IF(OR(ISNUMBER(SEARCH("main droite",$H91)),ISNUMBER(SEARCH("faiblesse droite",$H91)),ISNUMBER(SEARCH("hémipar",$H91)),ISNUMBER(SEARCH("hemipar",$H91))),"78",""),IF(OR(ISNUMBER(SEARCH("main",$H91)),ISNUMBER(SEARCH("membre supérieur",$H91)),ISNUMBER(SEARCH("membre superieur",$H91))),"03.01",""),IF(OR(ISNUMBER(SEARCH("équilibre",$H91)),ISNUMBER(SEARCH("equilibre",$H91)),ISNUMBER(SEARCH("atax",$H91))),"43.03",""),IF(OR(ISNUMBER(SEARCH("champ visuel",$J91)),ISNUMBER(SEARCH("hémianops",$J91)),ISNUMBER(SEARCH("hemianops",$J91))),"42.05",""),IF(OR(ISNUMBER(SEARCH("faiblesse",$H91)),ISNUMBER(SEARCH("spastic",$H91))),"40.11",""),IF(OR(ISNUMBER(SEARCH("faiblesse",$H91)),ISNUMBER(SEARCH("spastic",$H91))),"35.02",""))</f>
        <v/>
      </c>
      <c r="Y91" s="2">
        <f>TEXTJOIN(" | ",TRUE,IF($I91="Oui","Vision: correction (lunettes/lentilles) selon bilan ophtalmo.",""),IF(OR(ISNUMBER(SEARCH("diplop",$J91)),ISNUMBER(SEARCH("occlus",$J91))),"Si diplopie: prisme/occlusion/couvre-œil si indiqué + avis oph.",""),IF(OR(ISNUMBER(SEARCH("main droite",$H91)),ISNUMBER(SEARCH("hémipar",$H91)),ISNUMBER(SEARCH("hemipar",$H91))),"Si déficit MS: privilégier véhicule à boîte automatique + aide au volant/commandes.",""),IF(OR(ISNUMBER(SEARCH("équilibre",$H91)),ISNUMBER(SEARCH("equilibre",$H91)),ISNUMBER(SEARCH("atax",$H91))),"Si instabilité: siège avec soutien latéral / accoudoir.",""),IF(OR(ISNUMBER(SEARCH("hémianops",$J91)),ISNUMBER(SEARCH("hemianops",$J91))),"Si champ visuel limité: dispositifs de vision angle mort (si compatible) + avis spécialisé.",""))</f>
        <v/>
      </c>
    </row>
    <row r="92">
      <c r="T92" s="2">
        <f>IF($E92="&lt; 6 mois","FIN_A",IF($G92="Oui","FIN_A",IF($I92="Oui",IFERROR(IF(OR(ISNUMBER(SEARCH("hémianops",$J92)),ISNUMBER(SEARCH("hemianops",$J92)),ISNUMBER(SEARCH("quadranops",$J92)),ISNUMBER(SEARCH("diplop",$J92)),ISNUMBER(SEARCH("nystag",$J92)),ISNUMBER(SEARCH("saccad",$J92))),"FIN_A","FIN_E"),"FIN_E"),IF($K92="Oui","FIN_C",IF($M92="Oui","FIN_A",IF($N92="Oui","FIN_A",IF($O92="Oui","FIN_A",IF($P92="Oui","FIN_A",IF($Q92="Oui","FIN_D",IF($R92="Non","FIN_E",IF($S92="Oui","FIN_A","FIN_D"))))))))))))</f>
        <v/>
      </c>
      <c r="X92" s="2">
        <f>TEXTJOIN(", ",TRUE,IF($I92="Oui",IF(ISNUMBER(SEARCH("lent",$J92)),"01.02",IF(ISNUMBER(SEARCH("lunett",$J92)),"01.01","01.06")),""),IF(OR(ISNUMBER(SEARCH("diplop",$J92)),ISNUMBER(SEARCH("couvre",$J92)),ISNUMBER(SEARCH("occlus",$J92))),"01.05",""),IF(OR(ISNUMBER(SEARCH("main droite",$H92)),ISNUMBER(SEARCH("faiblesse droite",$H92)),ISNUMBER(SEARCH("hémipar",$H92)),ISNUMBER(SEARCH("hemipar",$H92))),"78",""),IF(OR(ISNUMBER(SEARCH("main",$H92)),ISNUMBER(SEARCH("membre supérieur",$H92)),ISNUMBER(SEARCH("membre superieur",$H92))),"03.01",""),IF(OR(ISNUMBER(SEARCH("équilibre",$H92)),ISNUMBER(SEARCH("equilibre",$H92)),ISNUMBER(SEARCH("atax",$H92))),"43.03",""),IF(OR(ISNUMBER(SEARCH("champ visuel",$J92)),ISNUMBER(SEARCH("hémianops",$J92)),ISNUMBER(SEARCH("hemianops",$J92))),"42.05",""),IF(OR(ISNUMBER(SEARCH("faiblesse",$H92)),ISNUMBER(SEARCH("spastic",$H92))),"40.11",""),IF(OR(ISNUMBER(SEARCH("faiblesse",$H92)),ISNUMBER(SEARCH("spastic",$H92))),"35.02",""))</f>
        <v/>
      </c>
      <c r="Y92" s="2">
        <f>TEXTJOIN(" | ",TRUE,IF($I92="Oui","Vision: correction (lunettes/lentilles) selon bilan ophtalmo.",""),IF(OR(ISNUMBER(SEARCH("diplop",$J92)),ISNUMBER(SEARCH("occlus",$J92))),"Si diplopie: prisme/occlusion/couvre-œil si indiqué + avis oph.",""),IF(OR(ISNUMBER(SEARCH("main droite",$H92)),ISNUMBER(SEARCH("hémipar",$H92)),ISNUMBER(SEARCH("hemipar",$H92))),"Si déficit MS: privilégier véhicule à boîte automatique + aide au volant/commandes.",""),IF(OR(ISNUMBER(SEARCH("équilibre",$H92)),ISNUMBER(SEARCH("equilibre",$H92)),ISNUMBER(SEARCH("atax",$H92))),"Si instabilité: siège avec soutien latéral / accoudoir.",""),IF(OR(ISNUMBER(SEARCH("hémianops",$J92)),ISNUMBER(SEARCH("hemianops",$J92))),"Si champ visuel limité: dispositifs de vision angle mort (si compatible) + avis spécialisé.",""))</f>
        <v/>
      </c>
    </row>
    <row r="93">
      <c r="T93" s="2">
        <f>IF($E93="&lt; 6 mois","FIN_A",IF($G93="Oui","FIN_A",IF($I93="Oui",IFERROR(IF(OR(ISNUMBER(SEARCH("hémianops",$J93)),ISNUMBER(SEARCH("hemianops",$J93)),ISNUMBER(SEARCH("quadranops",$J93)),ISNUMBER(SEARCH("diplop",$J93)),ISNUMBER(SEARCH("nystag",$J93)),ISNUMBER(SEARCH("saccad",$J93))),"FIN_A","FIN_E"),"FIN_E"),IF($K93="Oui","FIN_C",IF($M93="Oui","FIN_A",IF($N93="Oui","FIN_A",IF($O93="Oui","FIN_A",IF($P93="Oui","FIN_A",IF($Q93="Oui","FIN_D",IF($R93="Non","FIN_E",IF($S93="Oui","FIN_A","FIN_D"))))))))))))</f>
        <v/>
      </c>
      <c r="X93" s="2">
        <f>TEXTJOIN(", ",TRUE,IF($I93="Oui",IF(ISNUMBER(SEARCH("lent",$J93)),"01.02",IF(ISNUMBER(SEARCH("lunett",$J93)),"01.01","01.06")),""),IF(OR(ISNUMBER(SEARCH("diplop",$J93)),ISNUMBER(SEARCH("couvre",$J93)),ISNUMBER(SEARCH("occlus",$J93))),"01.05",""),IF(OR(ISNUMBER(SEARCH("main droite",$H93)),ISNUMBER(SEARCH("faiblesse droite",$H93)),ISNUMBER(SEARCH("hémipar",$H93)),ISNUMBER(SEARCH("hemipar",$H93))),"78",""),IF(OR(ISNUMBER(SEARCH("main",$H93)),ISNUMBER(SEARCH("membre supérieur",$H93)),ISNUMBER(SEARCH("membre superieur",$H93))),"03.01",""),IF(OR(ISNUMBER(SEARCH("équilibre",$H93)),ISNUMBER(SEARCH("equilibre",$H93)),ISNUMBER(SEARCH("atax",$H93))),"43.03",""),IF(OR(ISNUMBER(SEARCH("champ visuel",$J93)),ISNUMBER(SEARCH("hémianops",$J93)),ISNUMBER(SEARCH("hemianops",$J93))),"42.05",""),IF(OR(ISNUMBER(SEARCH("faiblesse",$H93)),ISNUMBER(SEARCH("spastic",$H93))),"40.11",""),IF(OR(ISNUMBER(SEARCH("faiblesse",$H93)),ISNUMBER(SEARCH("spastic",$H93))),"35.02",""))</f>
        <v/>
      </c>
      <c r="Y93" s="2">
        <f>TEXTJOIN(" | ",TRUE,IF($I93="Oui","Vision: correction (lunettes/lentilles) selon bilan ophtalmo.",""),IF(OR(ISNUMBER(SEARCH("diplop",$J93)),ISNUMBER(SEARCH("occlus",$J93))),"Si diplopie: prisme/occlusion/couvre-œil si indiqué + avis oph.",""),IF(OR(ISNUMBER(SEARCH("main droite",$H93)),ISNUMBER(SEARCH("hémipar",$H93)),ISNUMBER(SEARCH("hemipar",$H93))),"Si déficit MS: privilégier véhicule à boîte automatique + aide au volant/commandes.",""),IF(OR(ISNUMBER(SEARCH("équilibre",$H93)),ISNUMBER(SEARCH("equilibre",$H93)),ISNUMBER(SEARCH("atax",$H93))),"Si instabilité: siège avec soutien latéral / accoudoir.",""),IF(OR(ISNUMBER(SEARCH("hémianops",$J93)),ISNUMBER(SEARCH("hemianops",$J93))),"Si champ visuel limité: dispositifs de vision angle mort (si compatible) + avis spécialisé.",""))</f>
        <v/>
      </c>
    </row>
    <row r="94">
      <c r="T94" s="2">
        <f>IF($E94="&lt; 6 mois","FIN_A",IF($G94="Oui","FIN_A",IF($I94="Oui",IFERROR(IF(OR(ISNUMBER(SEARCH("hémianops",$J94)),ISNUMBER(SEARCH("hemianops",$J94)),ISNUMBER(SEARCH("quadranops",$J94)),ISNUMBER(SEARCH("diplop",$J94)),ISNUMBER(SEARCH("nystag",$J94)),ISNUMBER(SEARCH("saccad",$J94))),"FIN_A","FIN_E"),"FIN_E"),IF($K94="Oui","FIN_C",IF($M94="Oui","FIN_A",IF($N94="Oui","FIN_A",IF($O94="Oui","FIN_A",IF($P94="Oui","FIN_A",IF($Q94="Oui","FIN_D",IF($R94="Non","FIN_E",IF($S94="Oui","FIN_A","FIN_D"))))))))))))</f>
        <v/>
      </c>
      <c r="X94" s="2">
        <f>TEXTJOIN(", ",TRUE,IF($I94="Oui",IF(ISNUMBER(SEARCH("lent",$J94)),"01.02",IF(ISNUMBER(SEARCH("lunett",$J94)),"01.01","01.06")),""),IF(OR(ISNUMBER(SEARCH("diplop",$J94)),ISNUMBER(SEARCH("couvre",$J94)),ISNUMBER(SEARCH("occlus",$J94))),"01.05",""),IF(OR(ISNUMBER(SEARCH("main droite",$H94)),ISNUMBER(SEARCH("faiblesse droite",$H94)),ISNUMBER(SEARCH("hémipar",$H94)),ISNUMBER(SEARCH("hemipar",$H94))),"78",""),IF(OR(ISNUMBER(SEARCH("main",$H94)),ISNUMBER(SEARCH("membre supérieur",$H94)),ISNUMBER(SEARCH("membre superieur",$H94))),"03.01",""),IF(OR(ISNUMBER(SEARCH("équilibre",$H94)),ISNUMBER(SEARCH("equilibre",$H94)),ISNUMBER(SEARCH("atax",$H94))),"43.03",""),IF(OR(ISNUMBER(SEARCH("champ visuel",$J94)),ISNUMBER(SEARCH("hémianops",$J94)),ISNUMBER(SEARCH("hemianops",$J94))),"42.05",""),IF(OR(ISNUMBER(SEARCH("faiblesse",$H94)),ISNUMBER(SEARCH("spastic",$H94))),"40.11",""),IF(OR(ISNUMBER(SEARCH("faiblesse",$H94)),ISNUMBER(SEARCH("spastic",$H94))),"35.02",""))</f>
        <v/>
      </c>
      <c r="Y94" s="2">
        <f>TEXTJOIN(" | ",TRUE,IF($I94="Oui","Vision: correction (lunettes/lentilles) selon bilan ophtalmo.",""),IF(OR(ISNUMBER(SEARCH("diplop",$J94)),ISNUMBER(SEARCH("occlus",$J94))),"Si diplopie: prisme/occlusion/couvre-œil si indiqué + avis oph.",""),IF(OR(ISNUMBER(SEARCH("main droite",$H94)),ISNUMBER(SEARCH("hémipar",$H94)),ISNUMBER(SEARCH("hemipar",$H94))),"Si déficit MS: privilégier véhicule à boîte automatique + aide au volant/commandes.",""),IF(OR(ISNUMBER(SEARCH("équilibre",$H94)),ISNUMBER(SEARCH("equilibre",$H94)),ISNUMBER(SEARCH("atax",$H94))),"Si instabilité: siège avec soutien latéral / accoudoir.",""),IF(OR(ISNUMBER(SEARCH("hémianops",$J94)),ISNUMBER(SEARCH("hemianops",$J94))),"Si champ visuel limité: dispositifs de vision angle mort (si compatible) + avis spécialisé.",""))</f>
        <v/>
      </c>
    </row>
    <row r="95">
      <c r="T95" s="2">
        <f>IF($E95="&lt; 6 mois","FIN_A",IF($G95="Oui","FIN_A",IF($I95="Oui",IFERROR(IF(OR(ISNUMBER(SEARCH("hémianops",$J95)),ISNUMBER(SEARCH("hemianops",$J95)),ISNUMBER(SEARCH("quadranops",$J95)),ISNUMBER(SEARCH("diplop",$J95)),ISNUMBER(SEARCH("nystag",$J95)),ISNUMBER(SEARCH("saccad",$J95))),"FIN_A","FIN_E"),"FIN_E"),IF($K95="Oui","FIN_C",IF($M95="Oui","FIN_A",IF($N95="Oui","FIN_A",IF($O95="Oui","FIN_A",IF($P95="Oui","FIN_A",IF($Q95="Oui","FIN_D",IF($R95="Non","FIN_E",IF($S95="Oui","FIN_A","FIN_D"))))))))))))</f>
        <v/>
      </c>
      <c r="X95" s="2">
        <f>TEXTJOIN(", ",TRUE,IF($I95="Oui",IF(ISNUMBER(SEARCH("lent",$J95)),"01.02",IF(ISNUMBER(SEARCH("lunett",$J95)),"01.01","01.06")),""),IF(OR(ISNUMBER(SEARCH("diplop",$J95)),ISNUMBER(SEARCH("couvre",$J95)),ISNUMBER(SEARCH("occlus",$J95))),"01.05",""),IF(OR(ISNUMBER(SEARCH("main droite",$H95)),ISNUMBER(SEARCH("faiblesse droite",$H95)),ISNUMBER(SEARCH("hémipar",$H95)),ISNUMBER(SEARCH("hemipar",$H95))),"78",""),IF(OR(ISNUMBER(SEARCH("main",$H95)),ISNUMBER(SEARCH("membre supérieur",$H95)),ISNUMBER(SEARCH("membre superieur",$H95))),"03.01",""),IF(OR(ISNUMBER(SEARCH("équilibre",$H95)),ISNUMBER(SEARCH("equilibre",$H95)),ISNUMBER(SEARCH("atax",$H95))),"43.03",""),IF(OR(ISNUMBER(SEARCH("champ visuel",$J95)),ISNUMBER(SEARCH("hémianops",$J95)),ISNUMBER(SEARCH("hemianops",$J95))),"42.05",""),IF(OR(ISNUMBER(SEARCH("faiblesse",$H95)),ISNUMBER(SEARCH("spastic",$H95))),"40.11",""),IF(OR(ISNUMBER(SEARCH("faiblesse",$H95)),ISNUMBER(SEARCH("spastic",$H95))),"35.02",""))</f>
        <v/>
      </c>
      <c r="Y95" s="2">
        <f>TEXTJOIN(" | ",TRUE,IF($I95="Oui","Vision: correction (lunettes/lentilles) selon bilan ophtalmo.",""),IF(OR(ISNUMBER(SEARCH("diplop",$J95)),ISNUMBER(SEARCH("occlus",$J95))),"Si diplopie: prisme/occlusion/couvre-œil si indiqué + avis oph.",""),IF(OR(ISNUMBER(SEARCH("main droite",$H95)),ISNUMBER(SEARCH("hémipar",$H95)),ISNUMBER(SEARCH("hemipar",$H95))),"Si déficit MS: privilégier véhicule à boîte automatique + aide au volant/commandes.",""),IF(OR(ISNUMBER(SEARCH("équilibre",$H95)),ISNUMBER(SEARCH("equilibre",$H95)),ISNUMBER(SEARCH("atax",$H95))),"Si instabilité: siège avec soutien latéral / accoudoir.",""),IF(OR(ISNUMBER(SEARCH("hémianops",$J95)),ISNUMBER(SEARCH("hemianops",$J95))),"Si champ visuel limité: dispositifs de vision angle mort (si compatible) + avis spécialisé.",""))</f>
        <v/>
      </c>
    </row>
    <row r="96">
      <c r="T96" s="2">
        <f>IF($E96="&lt; 6 mois","FIN_A",IF($G96="Oui","FIN_A",IF($I96="Oui",IFERROR(IF(OR(ISNUMBER(SEARCH("hémianops",$J96)),ISNUMBER(SEARCH("hemianops",$J96)),ISNUMBER(SEARCH("quadranops",$J96)),ISNUMBER(SEARCH("diplop",$J96)),ISNUMBER(SEARCH("nystag",$J96)),ISNUMBER(SEARCH("saccad",$J96))),"FIN_A","FIN_E"),"FIN_E"),IF($K96="Oui","FIN_C",IF($M96="Oui","FIN_A",IF($N96="Oui","FIN_A",IF($O96="Oui","FIN_A",IF($P96="Oui","FIN_A",IF($Q96="Oui","FIN_D",IF($R96="Non","FIN_E",IF($S96="Oui","FIN_A","FIN_D"))))))))))))</f>
        <v/>
      </c>
      <c r="X96" s="2">
        <f>TEXTJOIN(", ",TRUE,IF($I96="Oui",IF(ISNUMBER(SEARCH("lent",$J96)),"01.02",IF(ISNUMBER(SEARCH("lunett",$J96)),"01.01","01.06")),""),IF(OR(ISNUMBER(SEARCH("diplop",$J96)),ISNUMBER(SEARCH("couvre",$J96)),ISNUMBER(SEARCH("occlus",$J96))),"01.05",""),IF(OR(ISNUMBER(SEARCH("main droite",$H96)),ISNUMBER(SEARCH("faiblesse droite",$H96)),ISNUMBER(SEARCH("hémipar",$H96)),ISNUMBER(SEARCH("hemipar",$H96))),"78",""),IF(OR(ISNUMBER(SEARCH("main",$H96)),ISNUMBER(SEARCH("membre supérieur",$H96)),ISNUMBER(SEARCH("membre superieur",$H96))),"03.01",""),IF(OR(ISNUMBER(SEARCH("équilibre",$H96)),ISNUMBER(SEARCH("equilibre",$H96)),ISNUMBER(SEARCH("atax",$H96))),"43.03",""),IF(OR(ISNUMBER(SEARCH("champ visuel",$J96)),ISNUMBER(SEARCH("hémianops",$J96)),ISNUMBER(SEARCH("hemianops",$J96))),"42.05",""),IF(OR(ISNUMBER(SEARCH("faiblesse",$H96)),ISNUMBER(SEARCH("spastic",$H96))),"40.11",""),IF(OR(ISNUMBER(SEARCH("faiblesse",$H96)),ISNUMBER(SEARCH("spastic",$H96))),"35.02",""))</f>
        <v/>
      </c>
      <c r="Y96" s="2">
        <f>TEXTJOIN(" | ",TRUE,IF($I96="Oui","Vision: correction (lunettes/lentilles) selon bilan ophtalmo.",""),IF(OR(ISNUMBER(SEARCH("diplop",$J96)),ISNUMBER(SEARCH("occlus",$J96))),"Si diplopie: prisme/occlusion/couvre-œil si indiqué + avis oph.",""),IF(OR(ISNUMBER(SEARCH("main droite",$H96)),ISNUMBER(SEARCH("hémipar",$H96)),ISNUMBER(SEARCH("hemipar",$H96))),"Si déficit MS: privilégier véhicule à boîte automatique + aide au volant/commandes.",""),IF(OR(ISNUMBER(SEARCH("équilibre",$H96)),ISNUMBER(SEARCH("equilibre",$H96)),ISNUMBER(SEARCH("atax",$H96))),"Si instabilité: siège avec soutien latéral / accoudoir.",""),IF(OR(ISNUMBER(SEARCH("hémianops",$J96)),ISNUMBER(SEARCH("hemianops",$J96))),"Si champ visuel limité: dispositifs de vision angle mort (si compatible) + avis spécialisé.",""))</f>
        <v/>
      </c>
    </row>
    <row r="97">
      <c r="T97" s="2">
        <f>IF($E97="&lt; 6 mois","FIN_A",IF($G97="Oui","FIN_A",IF($I97="Oui",IFERROR(IF(OR(ISNUMBER(SEARCH("hémianops",$J97)),ISNUMBER(SEARCH("hemianops",$J97)),ISNUMBER(SEARCH("quadranops",$J97)),ISNUMBER(SEARCH("diplop",$J97)),ISNUMBER(SEARCH("nystag",$J97)),ISNUMBER(SEARCH("saccad",$J97))),"FIN_A","FIN_E"),"FIN_E"),IF($K97="Oui","FIN_C",IF($M97="Oui","FIN_A",IF($N97="Oui","FIN_A",IF($O97="Oui","FIN_A",IF($P97="Oui","FIN_A",IF($Q97="Oui","FIN_D",IF($R97="Non","FIN_E",IF($S97="Oui","FIN_A","FIN_D"))))))))))))</f>
        <v/>
      </c>
      <c r="X97" s="2">
        <f>TEXTJOIN(", ",TRUE,IF($I97="Oui",IF(ISNUMBER(SEARCH("lent",$J97)),"01.02",IF(ISNUMBER(SEARCH("lunett",$J97)),"01.01","01.06")),""),IF(OR(ISNUMBER(SEARCH("diplop",$J97)),ISNUMBER(SEARCH("couvre",$J97)),ISNUMBER(SEARCH("occlus",$J97))),"01.05",""),IF(OR(ISNUMBER(SEARCH("main droite",$H97)),ISNUMBER(SEARCH("faiblesse droite",$H97)),ISNUMBER(SEARCH("hémipar",$H97)),ISNUMBER(SEARCH("hemipar",$H97))),"78",""),IF(OR(ISNUMBER(SEARCH("main",$H97)),ISNUMBER(SEARCH("membre supérieur",$H97)),ISNUMBER(SEARCH("membre superieur",$H97))),"03.01",""),IF(OR(ISNUMBER(SEARCH("équilibre",$H97)),ISNUMBER(SEARCH("equilibre",$H97)),ISNUMBER(SEARCH("atax",$H97))),"43.03",""),IF(OR(ISNUMBER(SEARCH("champ visuel",$J97)),ISNUMBER(SEARCH("hémianops",$J97)),ISNUMBER(SEARCH("hemianops",$J97))),"42.05",""),IF(OR(ISNUMBER(SEARCH("faiblesse",$H97)),ISNUMBER(SEARCH("spastic",$H97))),"40.11",""),IF(OR(ISNUMBER(SEARCH("faiblesse",$H97)),ISNUMBER(SEARCH("spastic",$H97))),"35.02",""))</f>
        <v/>
      </c>
      <c r="Y97" s="2">
        <f>TEXTJOIN(" | ",TRUE,IF($I97="Oui","Vision: correction (lunettes/lentilles) selon bilan ophtalmo.",""),IF(OR(ISNUMBER(SEARCH("diplop",$J97)),ISNUMBER(SEARCH("occlus",$J97))),"Si diplopie: prisme/occlusion/couvre-œil si indiqué + avis oph.",""),IF(OR(ISNUMBER(SEARCH("main droite",$H97)),ISNUMBER(SEARCH("hémipar",$H97)),ISNUMBER(SEARCH("hemipar",$H97))),"Si déficit MS: privilégier véhicule à boîte automatique + aide au volant/commandes.",""),IF(OR(ISNUMBER(SEARCH("équilibre",$H97)),ISNUMBER(SEARCH("equilibre",$H97)),ISNUMBER(SEARCH("atax",$H97))),"Si instabilité: siège avec soutien latéral / accoudoir.",""),IF(OR(ISNUMBER(SEARCH("hémianops",$J97)),ISNUMBER(SEARCH("hemianops",$J97))),"Si champ visuel limité: dispositifs de vision angle mort (si compatible) + avis spécialisé.",""))</f>
        <v/>
      </c>
    </row>
    <row r="98">
      <c r="T98" s="2">
        <f>IF($E98="&lt; 6 mois","FIN_A",IF($G98="Oui","FIN_A",IF($I98="Oui",IFERROR(IF(OR(ISNUMBER(SEARCH("hémianops",$J98)),ISNUMBER(SEARCH("hemianops",$J98)),ISNUMBER(SEARCH("quadranops",$J98)),ISNUMBER(SEARCH("diplop",$J98)),ISNUMBER(SEARCH("nystag",$J98)),ISNUMBER(SEARCH("saccad",$J98))),"FIN_A","FIN_E"),"FIN_E"),IF($K98="Oui","FIN_C",IF($M98="Oui","FIN_A",IF($N98="Oui","FIN_A",IF($O98="Oui","FIN_A",IF($P98="Oui","FIN_A",IF($Q98="Oui","FIN_D",IF($R98="Non","FIN_E",IF($S98="Oui","FIN_A","FIN_D"))))))))))))</f>
        <v/>
      </c>
      <c r="X98" s="2">
        <f>TEXTJOIN(", ",TRUE,IF($I98="Oui",IF(ISNUMBER(SEARCH("lent",$J98)),"01.02",IF(ISNUMBER(SEARCH("lunett",$J98)),"01.01","01.06")),""),IF(OR(ISNUMBER(SEARCH("diplop",$J98)),ISNUMBER(SEARCH("couvre",$J98)),ISNUMBER(SEARCH("occlus",$J98))),"01.05",""),IF(OR(ISNUMBER(SEARCH("main droite",$H98)),ISNUMBER(SEARCH("faiblesse droite",$H98)),ISNUMBER(SEARCH("hémipar",$H98)),ISNUMBER(SEARCH("hemipar",$H98))),"78",""),IF(OR(ISNUMBER(SEARCH("main",$H98)),ISNUMBER(SEARCH("membre supérieur",$H98)),ISNUMBER(SEARCH("membre superieur",$H98))),"03.01",""),IF(OR(ISNUMBER(SEARCH("équilibre",$H98)),ISNUMBER(SEARCH("equilibre",$H98)),ISNUMBER(SEARCH("atax",$H98))),"43.03",""),IF(OR(ISNUMBER(SEARCH("champ visuel",$J98)),ISNUMBER(SEARCH("hémianops",$J98)),ISNUMBER(SEARCH("hemianops",$J98))),"42.05",""),IF(OR(ISNUMBER(SEARCH("faiblesse",$H98)),ISNUMBER(SEARCH("spastic",$H98))),"40.11",""),IF(OR(ISNUMBER(SEARCH("faiblesse",$H98)),ISNUMBER(SEARCH("spastic",$H98))),"35.02",""))</f>
        <v/>
      </c>
      <c r="Y98" s="2">
        <f>TEXTJOIN(" | ",TRUE,IF($I98="Oui","Vision: correction (lunettes/lentilles) selon bilan ophtalmo.",""),IF(OR(ISNUMBER(SEARCH("diplop",$J98)),ISNUMBER(SEARCH("occlus",$J98))),"Si diplopie: prisme/occlusion/couvre-œil si indiqué + avis oph.",""),IF(OR(ISNUMBER(SEARCH("main droite",$H98)),ISNUMBER(SEARCH("hémipar",$H98)),ISNUMBER(SEARCH("hemipar",$H98))),"Si déficit MS: privilégier véhicule à boîte automatique + aide au volant/commandes.",""),IF(OR(ISNUMBER(SEARCH("équilibre",$H98)),ISNUMBER(SEARCH("equilibre",$H98)),ISNUMBER(SEARCH("atax",$H98))),"Si instabilité: siège avec soutien latéral / accoudoir.",""),IF(OR(ISNUMBER(SEARCH("hémianops",$J98)),ISNUMBER(SEARCH("hemianops",$J98))),"Si champ visuel limité: dispositifs de vision angle mort (si compatible) + avis spécialisé.",""))</f>
        <v/>
      </c>
    </row>
    <row r="99">
      <c r="T99" s="2">
        <f>IF($E99="&lt; 6 mois","FIN_A",IF($G99="Oui","FIN_A",IF($I99="Oui",IFERROR(IF(OR(ISNUMBER(SEARCH("hémianops",$J99)),ISNUMBER(SEARCH("hemianops",$J99)),ISNUMBER(SEARCH("quadranops",$J99)),ISNUMBER(SEARCH("diplop",$J99)),ISNUMBER(SEARCH("nystag",$J99)),ISNUMBER(SEARCH("saccad",$J99))),"FIN_A","FIN_E"),"FIN_E"),IF($K99="Oui","FIN_C",IF($M99="Oui","FIN_A",IF($N99="Oui","FIN_A",IF($O99="Oui","FIN_A",IF($P99="Oui","FIN_A",IF($Q99="Oui","FIN_D",IF($R99="Non","FIN_E",IF($S99="Oui","FIN_A","FIN_D"))))))))))))</f>
        <v/>
      </c>
      <c r="X99" s="2">
        <f>TEXTJOIN(", ",TRUE,IF($I99="Oui",IF(ISNUMBER(SEARCH("lent",$J99)),"01.02",IF(ISNUMBER(SEARCH("lunett",$J99)),"01.01","01.06")),""),IF(OR(ISNUMBER(SEARCH("diplop",$J99)),ISNUMBER(SEARCH("couvre",$J99)),ISNUMBER(SEARCH("occlus",$J99))),"01.05",""),IF(OR(ISNUMBER(SEARCH("main droite",$H99)),ISNUMBER(SEARCH("faiblesse droite",$H99)),ISNUMBER(SEARCH("hémipar",$H99)),ISNUMBER(SEARCH("hemipar",$H99))),"78",""),IF(OR(ISNUMBER(SEARCH("main",$H99)),ISNUMBER(SEARCH("membre supérieur",$H99)),ISNUMBER(SEARCH("membre superieur",$H99))),"03.01",""),IF(OR(ISNUMBER(SEARCH("équilibre",$H99)),ISNUMBER(SEARCH("equilibre",$H99)),ISNUMBER(SEARCH("atax",$H99))),"43.03",""),IF(OR(ISNUMBER(SEARCH("champ visuel",$J99)),ISNUMBER(SEARCH("hémianops",$J99)),ISNUMBER(SEARCH("hemianops",$J99))),"42.05",""),IF(OR(ISNUMBER(SEARCH("faiblesse",$H99)),ISNUMBER(SEARCH("spastic",$H99))),"40.11",""),IF(OR(ISNUMBER(SEARCH("faiblesse",$H99)),ISNUMBER(SEARCH("spastic",$H99))),"35.02",""))</f>
        <v/>
      </c>
      <c r="Y99" s="2">
        <f>TEXTJOIN(" | ",TRUE,IF($I99="Oui","Vision: correction (lunettes/lentilles) selon bilan ophtalmo.",""),IF(OR(ISNUMBER(SEARCH("diplop",$J99)),ISNUMBER(SEARCH("occlus",$J99))),"Si diplopie: prisme/occlusion/couvre-œil si indiqué + avis oph.",""),IF(OR(ISNUMBER(SEARCH("main droite",$H99)),ISNUMBER(SEARCH("hémipar",$H99)),ISNUMBER(SEARCH("hemipar",$H99))),"Si déficit MS: privilégier véhicule à boîte automatique + aide au volant/commandes.",""),IF(OR(ISNUMBER(SEARCH("équilibre",$H99)),ISNUMBER(SEARCH("equilibre",$H99)),ISNUMBER(SEARCH("atax",$H99))),"Si instabilité: siège avec soutien latéral / accoudoir.",""),IF(OR(ISNUMBER(SEARCH("hémianops",$J99)),ISNUMBER(SEARCH("hemianops",$J99))),"Si champ visuel limité: dispositifs de vision angle mort (si compatible) + avis spécialisé.",""))</f>
        <v/>
      </c>
    </row>
    <row r="100">
      <c r="T100" s="2">
        <f>IF($E100="&lt; 6 mois","FIN_A",IF($G100="Oui","FIN_A",IF($I100="Oui",IFERROR(IF(OR(ISNUMBER(SEARCH("hémianops",$J100)),ISNUMBER(SEARCH("hemianops",$J100)),ISNUMBER(SEARCH("quadranops",$J100)),ISNUMBER(SEARCH("diplop",$J100)),ISNUMBER(SEARCH("nystag",$J100)),ISNUMBER(SEARCH("saccad",$J100))),"FIN_A","FIN_E"),"FIN_E"),IF($K100="Oui","FIN_C",IF($M100="Oui","FIN_A",IF($N100="Oui","FIN_A",IF($O100="Oui","FIN_A",IF($P100="Oui","FIN_A",IF($Q100="Oui","FIN_D",IF($R100="Non","FIN_E",IF($S100="Oui","FIN_A","FIN_D"))))))))))))</f>
        <v/>
      </c>
      <c r="X100" s="2">
        <f>TEXTJOIN(", ",TRUE,IF($I100="Oui",IF(ISNUMBER(SEARCH("lent",$J100)),"01.02",IF(ISNUMBER(SEARCH("lunett",$J100)),"01.01","01.06")),""),IF(OR(ISNUMBER(SEARCH("diplop",$J100)),ISNUMBER(SEARCH("couvre",$J100)),ISNUMBER(SEARCH("occlus",$J100))),"01.05",""),IF(OR(ISNUMBER(SEARCH("main droite",$H100)),ISNUMBER(SEARCH("faiblesse droite",$H100)),ISNUMBER(SEARCH("hémipar",$H100)),ISNUMBER(SEARCH("hemipar",$H100))),"78",""),IF(OR(ISNUMBER(SEARCH("main",$H100)),ISNUMBER(SEARCH("membre supérieur",$H100)),ISNUMBER(SEARCH("membre superieur",$H100))),"03.01",""),IF(OR(ISNUMBER(SEARCH("équilibre",$H100)),ISNUMBER(SEARCH("equilibre",$H100)),ISNUMBER(SEARCH("atax",$H100))),"43.03",""),IF(OR(ISNUMBER(SEARCH("champ visuel",$J100)),ISNUMBER(SEARCH("hémianops",$J100)),ISNUMBER(SEARCH("hemianops",$J100))),"42.05",""),IF(OR(ISNUMBER(SEARCH("faiblesse",$H100)),ISNUMBER(SEARCH("spastic",$H100))),"40.11",""),IF(OR(ISNUMBER(SEARCH("faiblesse",$H100)),ISNUMBER(SEARCH("spastic",$H100))),"35.02",""))</f>
        <v/>
      </c>
      <c r="Y100" s="2">
        <f>TEXTJOIN(" | ",TRUE,IF($I100="Oui","Vision: correction (lunettes/lentilles) selon bilan ophtalmo.",""),IF(OR(ISNUMBER(SEARCH("diplop",$J100)),ISNUMBER(SEARCH("occlus",$J100))),"Si diplopie: prisme/occlusion/couvre-œil si indiqué + avis oph.",""),IF(OR(ISNUMBER(SEARCH("main droite",$H100)),ISNUMBER(SEARCH("hémipar",$H100)),ISNUMBER(SEARCH("hemipar",$H100))),"Si déficit MS: privilégier véhicule à boîte automatique + aide au volant/commandes.",""),IF(OR(ISNUMBER(SEARCH("équilibre",$H100)),ISNUMBER(SEARCH("equilibre",$H100)),ISNUMBER(SEARCH("atax",$H100))),"Si instabilité: siège avec soutien latéral / accoudoir.",""),IF(OR(ISNUMBER(SEARCH("hémianops",$J100)),ISNUMBER(SEARCH("hemianops",$J100))),"Si champ visuel limité: dispositifs de vision angle mort (si compatible) + avis spécialisé.",""))</f>
        <v/>
      </c>
    </row>
    <row r="101">
      <c r="T101" s="2">
        <f>IF($E101="&lt; 6 mois","FIN_A",IF($G101="Oui","FIN_A",IF($I101="Oui",IFERROR(IF(OR(ISNUMBER(SEARCH("hémianops",$J101)),ISNUMBER(SEARCH("hemianops",$J101)),ISNUMBER(SEARCH("quadranops",$J101)),ISNUMBER(SEARCH("diplop",$J101)),ISNUMBER(SEARCH("nystag",$J101)),ISNUMBER(SEARCH("saccad",$J101))),"FIN_A","FIN_E"),"FIN_E"),IF($K101="Oui","FIN_C",IF($M101="Oui","FIN_A",IF($N101="Oui","FIN_A",IF($O101="Oui","FIN_A",IF($P101="Oui","FIN_A",IF($Q101="Oui","FIN_D",IF($R101="Non","FIN_E",IF($S101="Oui","FIN_A","FIN_D"))))))))))))</f>
        <v/>
      </c>
      <c r="X101" s="2">
        <f>TEXTJOIN(", ",TRUE,IF($I101="Oui",IF(ISNUMBER(SEARCH("lent",$J101)),"01.02",IF(ISNUMBER(SEARCH("lunett",$J101)),"01.01","01.06")),""),IF(OR(ISNUMBER(SEARCH("diplop",$J101)),ISNUMBER(SEARCH("couvre",$J101)),ISNUMBER(SEARCH("occlus",$J101))),"01.05",""),IF(OR(ISNUMBER(SEARCH("main droite",$H101)),ISNUMBER(SEARCH("faiblesse droite",$H101)),ISNUMBER(SEARCH("hémipar",$H101)),ISNUMBER(SEARCH("hemipar",$H101))),"78",""),IF(OR(ISNUMBER(SEARCH("main",$H101)),ISNUMBER(SEARCH("membre supérieur",$H101)),ISNUMBER(SEARCH("membre superieur",$H101))),"03.01",""),IF(OR(ISNUMBER(SEARCH("équilibre",$H101)),ISNUMBER(SEARCH("equilibre",$H101)),ISNUMBER(SEARCH("atax",$H101))),"43.03",""),IF(OR(ISNUMBER(SEARCH("champ visuel",$J101)),ISNUMBER(SEARCH("hémianops",$J101)),ISNUMBER(SEARCH("hemianops",$J101))),"42.05",""),IF(OR(ISNUMBER(SEARCH("faiblesse",$H101)),ISNUMBER(SEARCH("spastic",$H101))),"40.11",""),IF(OR(ISNUMBER(SEARCH("faiblesse",$H101)),ISNUMBER(SEARCH("spastic",$H101))),"35.02",""))</f>
        <v/>
      </c>
      <c r="Y101" s="2">
        <f>TEXTJOIN(" | ",TRUE,IF($I101="Oui","Vision: correction (lunettes/lentilles) selon bilan ophtalmo.",""),IF(OR(ISNUMBER(SEARCH("diplop",$J101)),ISNUMBER(SEARCH("occlus",$J101))),"Si diplopie: prisme/occlusion/couvre-œil si indiqué + avis oph.",""),IF(OR(ISNUMBER(SEARCH("main droite",$H101)),ISNUMBER(SEARCH("hémipar",$H101)),ISNUMBER(SEARCH("hemipar",$H101))),"Si déficit MS: privilégier véhicule à boîte automatique + aide au volant/commandes.",""),IF(OR(ISNUMBER(SEARCH("équilibre",$H101)),ISNUMBER(SEARCH("equilibre",$H101)),ISNUMBER(SEARCH("atax",$H101))),"Si instabilité: siège avec soutien latéral / accoudoir.",""),IF(OR(ISNUMBER(SEARCH("hémianops",$J101)),ISNUMBER(SEARCH("hemianops",$J101))),"Si champ visuel limité: dispositifs de vision angle mort (si compatible) + avis spécialisé.",""))</f>
        <v/>
      </c>
    </row>
    <row r="102">
      <c r="T102" s="2">
        <f>IF($E102="&lt; 6 mois","FIN_A",IF($G102="Oui","FIN_A",IF($I102="Oui",IFERROR(IF(OR(ISNUMBER(SEARCH("hémianops",$J102)),ISNUMBER(SEARCH("hemianops",$J102)),ISNUMBER(SEARCH("quadranops",$J102)),ISNUMBER(SEARCH("diplop",$J102)),ISNUMBER(SEARCH("nystag",$J102)),ISNUMBER(SEARCH("saccad",$J102))),"FIN_A","FIN_E"),"FIN_E"),IF($K102="Oui","FIN_C",IF($M102="Oui","FIN_A",IF($N102="Oui","FIN_A",IF($O102="Oui","FIN_A",IF($P102="Oui","FIN_A",IF($Q102="Oui","FIN_D",IF($R102="Non","FIN_E",IF($S102="Oui","FIN_A","FIN_D"))))))))))))</f>
        <v/>
      </c>
      <c r="X102" s="2">
        <f>TEXTJOIN(", ",TRUE,IF($I102="Oui",IF(ISNUMBER(SEARCH("lent",$J102)),"01.02",IF(ISNUMBER(SEARCH("lunett",$J102)),"01.01","01.06")),""),IF(OR(ISNUMBER(SEARCH("diplop",$J102)),ISNUMBER(SEARCH("couvre",$J102)),ISNUMBER(SEARCH("occlus",$J102))),"01.05",""),IF(OR(ISNUMBER(SEARCH("main droite",$H102)),ISNUMBER(SEARCH("faiblesse droite",$H102)),ISNUMBER(SEARCH("hémipar",$H102)),ISNUMBER(SEARCH("hemipar",$H102))),"78",""),IF(OR(ISNUMBER(SEARCH("main",$H102)),ISNUMBER(SEARCH("membre supérieur",$H102)),ISNUMBER(SEARCH("membre superieur",$H102))),"03.01",""),IF(OR(ISNUMBER(SEARCH("équilibre",$H102)),ISNUMBER(SEARCH("equilibre",$H102)),ISNUMBER(SEARCH("atax",$H102))),"43.03",""),IF(OR(ISNUMBER(SEARCH("champ visuel",$J102)),ISNUMBER(SEARCH("hémianops",$J102)),ISNUMBER(SEARCH("hemianops",$J102))),"42.05",""),IF(OR(ISNUMBER(SEARCH("faiblesse",$H102)),ISNUMBER(SEARCH("spastic",$H102))),"40.11",""),IF(OR(ISNUMBER(SEARCH("faiblesse",$H102)),ISNUMBER(SEARCH("spastic",$H102))),"35.02",""))</f>
        <v/>
      </c>
      <c r="Y102" s="2">
        <f>TEXTJOIN(" | ",TRUE,IF($I102="Oui","Vision: correction (lunettes/lentilles) selon bilan ophtalmo.",""),IF(OR(ISNUMBER(SEARCH("diplop",$J102)),ISNUMBER(SEARCH("occlus",$J102))),"Si diplopie: prisme/occlusion/couvre-œil si indiqué + avis oph.",""),IF(OR(ISNUMBER(SEARCH("main droite",$H102)),ISNUMBER(SEARCH("hémipar",$H102)),ISNUMBER(SEARCH("hemipar",$H102))),"Si déficit MS: privilégier véhicule à boîte automatique + aide au volant/commandes.",""),IF(OR(ISNUMBER(SEARCH("équilibre",$H102)),ISNUMBER(SEARCH("equilibre",$H102)),ISNUMBER(SEARCH("atax",$H102))),"Si instabilité: siège avec soutien latéral / accoudoir.",""),IF(OR(ISNUMBER(SEARCH("hémianops",$J102)),ISNUMBER(SEARCH("hemianops",$J102))),"Si champ visuel limité: dispositifs de vision angle mort (si compatible) + avis spécialisé.",""))</f>
        <v/>
      </c>
    </row>
    <row r="103">
      <c r="T103" s="2">
        <f>IF($E103="&lt; 6 mois","FIN_A",IF($G103="Oui","FIN_A",IF($I103="Oui",IFERROR(IF(OR(ISNUMBER(SEARCH("hémianops",$J103)),ISNUMBER(SEARCH("hemianops",$J103)),ISNUMBER(SEARCH("quadranops",$J103)),ISNUMBER(SEARCH("diplop",$J103)),ISNUMBER(SEARCH("nystag",$J103)),ISNUMBER(SEARCH("saccad",$J103))),"FIN_A","FIN_E"),"FIN_E"),IF($K103="Oui","FIN_C",IF($M103="Oui","FIN_A",IF($N103="Oui","FIN_A",IF($O103="Oui","FIN_A",IF($P103="Oui","FIN_A",IF($Q103="Oui","FIN_D",IF($R103="Non","FIN_E",IF($S103="Oui","FIN_A","FIN_D"))))))))))))</f>
        <v/>
      </c>
      <c r="X103" s="2">
        <f>TEXTJOIN(", ",TRUE,IF($I103="Oui",IF(ISNUMBER(SEARCH("lent",$J103)),"01.02",IF(ISNUMBER(SEARCH("lunett",$J103)),"01.01","01.06")),""),IF(OR(ISNUMBER(SEARCH("diplop",$J103)),ISNUMBER(SEARCH("couvre",$J103)),ISNUMBER(SEARCH("occlus",$J103))),"01.05",""),IF(OR(ISNUMBER(SEARCH("main droite",$H103)),ISNUMBER(SEARCH("faiblesse droite",$H103)),ISNUMBER(SEARCH("hémipar",$H103)),ISNUMBER(SEARCH("hemipar",$H103))),"78",""),IF(OR(ISNUMBER(SEARCH("main",$H103)),ISNUMBER(SEARCH("membre supérieur",$H103)),ISNUMBER(SEARCH("membre superieur",$H103))),"03.01",""),IF(OR(ISNUMBER(SEARCH("équilibre",$H103)),ISNUMBER(SEARCH("equilibre",$H103)),ISNUMBER(SEARCH("atax",$H103))),"43.03",""),IF(OR(ISNUMBER(SEARCH("champ visuel",$J103)),ISNUMBER(SEARCH("hémianops",$J103)),ISNUMBER(SEARCH("hemianops",$J103))),"42.05",""),IF(OR(ISNUMBER(SEARCH("faiblesse",$H103)),ISNUMBER(SEARCH("spastic",$H103))),"40.11",""),IF(OR(ISNUMBER(SEARCH("faiblesse",$H103)),ISNUMBER(SEARCH("spastic",$H103))),"35.02",""))</f>
        <v/>
      </c>
      <c r="Y103" s="2">
        <f>TEXTJOIN(" | ",TRUE,IF($I103="Oui","Vision: correction (lunettes/lentilles) selon bilan ophtalmo.",""),IF(OR(ISNUMBER(SEARCH("diplop",$J103)),ISNUMBER(SEARCH("occlus",$J103))),"Si diplopie: prisme/occlusion/couvre-œil si indiqué + avis oph.",""),IF(OR(ISNUMBER(SEARCH("main droite",$H103)),ISNUMBER(SEARCH("hémipar",$H103)),ISNUMBER(SEARCH("hemipar",$H103))),"Si déficit MS: privilégier véhicule à boîte automatique + aide au volant/commandes.",""),IF(OR(ISNUMBER(SEARCH("équilibre",$H103)),ISNUMBER(SEARCH("equilibre",$H103)),ISNUMBER(SEARCH("atax",$H103))),"Si instabilité: siège avec soutien latéral / accoudoir.",""),IF(OR(ISNUMBER(SEARCH("hémianops",$J103)),ISNUMBER(SEARCH("hemianops",$J103))),"Si champ visuel limité: dispositifs de vision angle mort (si compatible) + avis spécialisé.",""))</f>
        <v/>
      </c>
    </row>
    <row r="104">
      <c r="T104" s="2">
        <f>IF($E104="&lt; 6 mois","FIN_A",IF($G104="Oui","FIN_A",IF($I104="Oui",IFERROR(IF(OR(ISNUMBER(SEARCH("hémianops",$J104)),ISNUMBER(SEARCH("hemianops",$J104)),ISNUMBER(SEARCH("quadranops",$J104)),ISNUMBER(SEARCH("diplop",$J104)),ISNUMBER(SEARCH("nystag",$J104)),ISNUMBER(SEARCH("saccad",$J104))),"FIN_A","FIN_E"),"FIN_E"),IF($K104="Oui","FIN_C",IF($M104="Oui","FIN_A",IF($N104="Oui","FIN_A",IF($O104="Oui","FIN_A",IF($P104="Oui","FIN_A",IF($Q104="Oui","FIN_D",IF($R104="Non","FIN_E",IF($S104="Oui","FIN_A","FIN_D"))))))))))))</f>
        <v/>
      </c>
      <c r="X104" s="2">
        <f>TEXTJOIN(", ",TRUE,IF($I104="Oui",IF(ISNUMBER(SEARCH("lent",$J104)),"01.02",IF(ISNUMBER(SEARCH("lunett",$J104)),"01.01","01.06")),""),IF(OR(ISNUMBER(SEARCH("diplop",$J104)),ISNUMBER(SEARCH("couvre",$J104)),ISNUMBER(SEARCH("occlus",$J104))),"01.05",""),IF(OR(ISNUMBER(SEARCH("main droite",$H104)),ISNUMBER(SEARCH("faiblesse droite",$H104)),ISNUMBER(SEARCH("hémipar",$H104)),ISNUMBER(SEARCH("hemipar",$H104))),"78",""),IF(OR(ISNUMBER(SEARCH("main",$H104)),ISNUMBER(SEARCH("membre supérieur",$H104)),ISNUMBER(SEARCH("membre superieur",$H104))),"03.01",""),IF(OR(ISNUMBER(SEARCH("équilibre",$H104)),ISNUMBER(SEARCH("equilibre",$H104)),ISNUMBER(SEARCH("atax",$H104))),"43.03",""),IF(OR(ISNUMBER(SEARCH("champ visuel",$J104)),ISNUMBER(SEARCH("hémianops",$J104)),ISNUMBER(SEARCH("hemianops",$J104))),"42.05",""),IF(OR(ISNUMBER(SEARCH("faiblesse",$H104)),ISNUMBER(SEARCH("spastic",$H104))),"40.11",""),IF(OR(ISNUMBER(SEARCH("faiblesse",$H104)),ISNUMBER(SEARCH("spastic",$H104))),"35.02",""))</f>
        <v/>
      </c>
      <c r="Y104" s="2">
        <f>TEXTJOIN(" | ",TRUE,IF($I104="Oui","Vision: correction (lunettes/lentilles) selon bilan ophtalmo.",""),IF(OR(ISNUMBER(SEARCH("diplop",$J104)),ISNUMBER(SEARCH("occlus",$J104))),"Si diplopie: prisme/occlusion/couvre-œil si indiqué + avis oph.",""),IF(OR(ISNUMBER(SEARCH("main droite",$H104)),ISNUMBER(SEARCH("hémipar",$H104)),ISNUMBER(SEARCH("hemipar",$H104))),"Si déficit MS: privilégier véhicule à boîte automatique + aide au volant/commandes.",""),IF(OR(ISNUMBER(SEARCH("équilibre",$H104)),ISNUMBER(SEARCH("equilibre",$H104)),ISNUMBER(SEARCH("atax",$H104))),"Si instabilité: siège avec soutien latéral / accoudoir.",""),IF(OR(ISNUMBER(SEARCH("hémianops",$J104)),ISNUMBER(SEARCH("hemianops",$J104))),"Si champ visuel limité: dispositifs de vision angle mort (si compatible) + avis spécialisé.",""))</f>
        <v/>
      </c>
    </row>
    <row r="105">
      <c r="T105" s="2">
        <f>IF($E105="&lt; 6 mois","FIN_A",IF($G105="Oui","FIN_A",IF($I105="Oui",IFERROR(IF(OR(ISNUMBER(SEARCH("hémianops",$J105)),ISNUMBER(SEARCH("hemianops",$J105)),ISNUMBER(SEARCH("quadranops",$J105)),ISNUMBER(SEARCH("diplop",$J105)),ISNUMBER(SEARCH("nystag",$J105)),ISNUMBER(SEARCH("saccad",$J105))),"FIN_A","FIN_E"),"FIN_E"),IF($K105="Oui","FIN_C",IF($M105="Oui","FIN_A",IF($N105="Oui","FIN_A",IF($O105="Oui","FIN_A",IF($P105="Oui","FIN_A",IF($Q105="Oui","FIN_D",IF($R105="Non","FIN_E",IF($S105="Oui","FIN_A","FIN_D"))))))))))))</f>
        <v/>
      </c>
      <c r="X105" s="2">
        <f>TEXTJOIN(", ",TRUE,IF($I105="Oui",IF(ISNUMBER(SEARCH("lent",$J105)),"01.02",IF(ISNUMBER(SEARCH("lunett",$J105)),"01.01","01.06")),""),IF(OR(ISNUMBER(SEARCH("diplop",$J105)),ISNUMBER(SEARCH("couvre",$J105)),ISNUMBER(SEARCH("occlus",$J105))),"01.05",""),IF(OR(ISNUMBER(SEARCH("main droite",$H105)),ISNUMBER(SEARCH("faiblesse droite",$H105)),ISNUMBER(SEARCH("hémipar",$H105)),ISNUMBER(SEARCH("hemipar",$H105))),"78",""),IF(OR(ISNUMBER(SEARCH("main",$H105)),ISNUMBER(SEARCH("membre supérieur",$H105)),ISNUMBER(SEARCH("membre superieur",$H105))),"03.01",""),IF(OR(ISNUMBER(SEARCH("équilibre",$H105)),ISNUMBER(SEARCH("equilibre",$H105)),ISNUMBER(SEARCH("atax",$H105))),"43.03",""),IF(OR(ISNUMBER(SEARCH("champ visuel",$J105)),ISNUMBER(SEARCH("hémianops",$J105)),ISNUMBER(SEARCH("hemianops",$J105))),"42.05",""),IF(OR(ISNUMBER(SEARCH("faiblesse",$H105)),ISNUMBER(SEARCH("spastic",$H105))),"40.11",""),IF(OR(ISNUMBER(SEARCH("faiblesse",$H105)),ISNUMBER(SEARCH("spastic",$H105))),"35.02",""))</f>
        <v/>
      </c>
      <c r="Y105" s="2">
        <f>TEXTJOIN(" | ",TRUE,IF($I105="Oui","Vision: correction (lunettes/lentilles) selon bilan ophtalmo.",""),IF(OR(ISNUMBER(SEARCH("diplop",$J105)),ISNUMBER(SEARCH("occlus",$J105))),"Si diplopie: prisme/occlusion/couvre-œil si indiqué + avis oph.",""),IF(OR(ISNUMBER(SEARCH("main droite",$H105)),ISNUMBER(SEARCH("hémipar",$H105)),ISNUMBER(SEARCH("hemipar",$H105))),"Si déficit MS: privilégier véhicule à boîte automatique + aide au volant/commandes.",""),IF(OR(ISNUMBER(SEARCH("équilibre",$H105)),ISNUMBER(SEARCH("equilibre",$H105)),ISNUMBER(SEARCH("atax",$H105))),"Si instabilité: siège avec soutien latéral / accoudoir.",""),IF(OR(ISNUMBER(SEARCH("hémianops",$J105)),ISNUMBER(SEARCH("hemianops",$J105))),"Si champ visuel limité: dispositifs de vision angle mort (si compatible) + avis spécialisé.",""))</f>
        <v/>
      </c>
    </row>
    <row r="106">
      <c r="T106" s="2">
        <f>IF($E106="&lt; 6 mois","FIN_A",IF($G106="Oui","FIN_A",IF($I106="Oui",IFERROR(IF(OR(ISNUMBER(SEARCH("hémianops",$J106)),ISNUMBER(SEARCH("hemianops",$J106)),ISNUMBER(SEARCH("quadranops",$J106)),ISNUMBER(SEARCH("diplop",$J106)),ISNUMBER(SEARCH("nystag",$J106)),ISNUMBER(SEARCH("saccad",$J106))),"FIN_A","FIN_E"),"FIN_E"),IF($K106="Oui","FIN_C",IF($M106="Oui","FIN_A",IF($N106="Oui","FIN_A",IF($O106="Oui","FIN_A",IF($P106="Oui","FIN_A",IF($Q106="Oui","FIN_D",IF($R106="Non","FIN_E",IF($S106="Oui","FIN_A","FIN_D"))))))))))))</f>
        <v/>
      </c>
      <c r="X106" s="2">
        <f>TEXTJOIN(", ",TRUE,IF($I106="Oui",IF(ISNUMBER(SEARCH("lent",$J106)),"01.02",IF(ISNUMBER(SEARCH("lunett",$J106)),"01.01","01.06")),""),IF(OR(ISNUMBER(SEARCH("diplop",$J106)),ISNUMBER(SEARCH("couvre",$J106)),ISNUMBER(SEARCH("occlus",$J106))),"01.05",""),IF(OR(ISNUMBER(SEARCH("main droite",$H106)),ISNUMBER(SEARCH("faiblesse droite",$H106)),ISNUMBER(SEARCH("hémipar",$H106)),ISNUMBER(SEARCH("hemipar",$H106))),"78",""),IF(OR(ISNUMBER(SEARCH("main",$H106)),ISNUMBER(SEARCH("membre supérieur",$H106)),ISNUMBER(SEARCH("membre superieur",$H106))),"03.01",""),IF(OR(ISNUMBER(SEARCH("équilibre",$H106)),ISNUMBER(SEARCH("equilibre",$H106)),ISNUMBER(SEARCH("atax",$H106))),"43.03",""),IF(OR(ISNUMBER(SEARCH("champ visuel",$J106)),ISNUMBER(SEARCH("hémianops",$J106)),ISNUMBER(SEARCH("hemianops",$J106))),"42.05",""),IF(OR(ISNUMBER(SEARCH("faiblesse",$H106)),ISNUMBER(SEARCH("spastic",$H106))),"40.11",""),IF(OR(ISNUMBER(SEARCH("faiblesse",$H106)),ISNUMBER(SEARCH("spastic",$H106))),"35.02",""))</f>
        <v/>
      </c>
      <c r="Y106" s="2">
        <f>TEXTJOIN(" | ",TRUE,IF($I106="Oui","Vision: correction (lunettes/lentilles) selon bilan ophtalmo.",""),IF(OR(ISNUMBER(SEARCH("diplop",$J106)),ISNUMBER(SEARCH("occlus",$J106))),"Si diplopie: prisme/occlusion/couvre-œil si indiqué + avis oph.",""),IF(OR(ISNUMBER(SEARCH("main droite",$H106)),ISNUMBER(SEARCH("hémipar",$H106)),ISNUMBER(SEARCH("hemipar",$H106))),"Si déficit MS: privilégier véhicule à boîte automatique + aide au volant/commandes.",""),IF(OR(ISNUMBER(SEARCH("équilibre",$H106)),ISNUMBER(SEARCH("equilibre",$H106)),ISNUMBER(SEARCH("atax",$H106))),"Si instabilité: siège avec soutien latéral / accoudoir.",""),IF(OR(ISNUMBER(SEARCH("hémianops",$J106)),ISNUMBER(SEARCH("hemianops",$J106))),"Si champ visuel limité: dispositifs de vision angle mort (si compatible) + avis spécialisé.",""))</f>
        <v/>
      </c>
    </row>
    <row r="107">
      <c r="T107" s="2">
        <f>IF($E107="&lt; 6 mois","FIN_A",IF($G107="Oui","FIN_A",IF($I107="Oui",IFERROR(IF(OR(ISNUMBER(SEARCH("hémianops",$J107)),ISNUMBER(SEARCH("hemianops",$J107)),ISNUMBER(SEARCH("quadranops",$J107)),ISNUMBER(SEARCH("diplop",$J107)),ISNUMBER(SEARCH("nystag",$J107)),ISNUMBER(SEARCH("saccad",$J107))),"FIN_A","FIN_E"),"FIN_E"),IF($K107="Oui","FIN_C",IF($M107="Oui","FIN_A",IF($N107="Oui","FIN_A",IF($O107="Oui","FIN_A",IF($P107="Oui","FIN_A",IF($Q107="Oui","FIN_D",IF($R107="Non","FIN_E",IF($S107="Oui","FIN_A","FIN_D"))))))))))))</f>
        <v/>
      </c>
      <c r="X107" s="2">
        <f>TEXTJOIN(", ",TRUE,IF($I107="Oui",IF(ISNUMBER(SEARCH("lent",$J107)),"01.02",IF(ISNUMBER(SEARCH("lunett",$J107)),"01.01","01.06")),""),IF(OR(ISNUMBER(SEARCH("diplop",$J107)),ISNUMBER(SEARCH("couvre",$J107)),ISNUMBER(SEARCH("occlus",$J107))),"01.05",""),IF(OR(ISNUMBER(SEARCH("main droite",$H107)),ISNUMBER(SEARCH("faiblesse droite",$H107)),ISNUMBER(SEARCH("hémipar",$H107)),ISNUMBER(SEARCH("hemipar",$H107))),"78",""),IF(OR(ISNUMBER(SEARCH("main",$H107)),ISNUMBER(SEARCH("membre supérieur",$H107)),ISNUMBER(SEARCH("membre superieur",$H107))),"03.01",""),IF(OR(ISNUMBER(SEARCH("équilibre",$H107)),ISNUMBER(SEARCH("equilibre",$H107)),ISNUMBER(SEARCH("atax",$H107))),"43.03",""),IF(OR(ISNUMBER(SEARCH("champ visuel",$J107)),ISNUMBER(SEARCH("hémianops",$J107)),ISNUMBER(SEARCH("hemianops",$J107))),"42.05",""),IF(OR(ISNUMBER(SEARCH("faiblesse",$H107)),ISNUMBER(SEARCH("spastic",$H107))),"40.11",""),IF(OR(ISNUMBER(SEARCH("faiblesse",$H107)),ISNUMBER(SEARCH("spastic",$H107))),"35.02",""))</f>
        <v/>
      </c>
      <c r="Y107" s="2">
        <f>TEXTJOIN(" | ",TRUE,IF($I107="Oui","Vision: correction (lunettes/lentilles) selon bilan ophtalmo.",""),IF(OR(ISNUMBER(SEARCH("diplop",$J107)),ISNUMBER(SEARCH("occlus",$J107))),"Si diplopie: prisme/occlusion/couvre-œil si indiqué + avis oph.",""),IF(OR(ISNUMBER(SEARCH("main droite",$H107)),ISNUMBER(SEARCH("hémipar",$H107)),ISNUMBER(SEARCH("hemipar",$H107))),"Si déficit MS: privilégier véhicule à boîte automatique + aide au volant/commandes.",""),IF(OR(ISNUMBER(SEARCH("équilibre",$H107)),ISNUMBER(SEARCH("equilibre",$H107)),ISNUMBER(SEARCH("atax",$H107))),"Si instabilité: siège avec soutien latéral / accoudoir.",""),IF(OR(ISNUMBER(SEARCH("hémianops",$J107)),ISNUMBER(SEARCH("hemianops",$J107))),"Si champ visuel limité: dispositifs de vision angle mort (si compatible) + avis spécialisé.",""))</f>
        <v/>
      </c>
    </row>
    <row r="108">
      <c r="T108" s="2">
        <f>IF($E108="&lt; 6 mois","FIN_A",IF($G108="Oui","FIN_A",IF($I108="Oui",IFERROR(IF(OR(ISNUMBER(SEARCH("hémianops",$J108)),ISNUMBER(SEARCH("hemianops",$J108)),ISNUMBER(SEARCH("quadranops",$J108)),ISNUMBER(SEARCH("diplop",$J108)),ISNUMBER(SEARCH("nystag",$J108)),ISNUMBER(SEARCH("saccad",$J108))),"FIN_A","FIN_E"),"FIN_E"),IF($K108="Oui","FIN_C",IF($M108="Oui","FIN_A",IF($N108="Oui","FIN_A",IF($O108="Oui","FIN_A",IF($P108="Oui","FIN_A",IF($Q108="Oui","FIN_D",IF($R108="Non","FIN_E",IF($S108="Oui","FIN_A","FIN_D"))))))))))))</f>
        <v/>
      </c>
      <c r="X108" s="2">
        <f>TEXTJOIN(", ",TRUE,IF($I108="Oui",IF(ISNUMBER(SEARCH("lent",$J108)),"01.02",IF(ISNUMBER(SEARCH("lunett",$J108)),"01.01","01.06")),""),IF(OR(ISNUMBER(SEARCH("diplop",$J108)),ISNUMBER(SEARCH("couvre",$J108)),ISNUMBER(SEARCH("occlus",$J108))),"01.05",""),IF(OR(ISNUMBER(SEARCH("main droite",$H108)),ISNUMBER(SEARCH("faiblesse droite",$H108)),ISNUMBER(SEARCH("hémipar",$H108)),ISNUMBER(SEARCH("hemipar",$H108))),"78",""),IF(OR(ISNUMBER(SEARCH("main",$H108)),ISNUMBER(SEARCH("membre supérieur",$H108)),ISNUMBER(SEARCH("membre superieur",$H108))),"03.01",""),IF(OR(ISNUMBER(SEARCH("équilibre",$H108)),ISNUMBER(SEARCH("equilibre",$H108)),ISNUMBER(SEARCH("atax",$H108))),"43.03",""),IF(OR(ISNUMBER(SEARCH("champ visuel",$J108)),ISNUMBER(SEARCH("hémianops",$J108)),ISNUMBER(SEARCH("hemianops",$J108))),"42.05",""),IF(OR(ISNUMBER(SEARCH("faiblesse",$H108)),ISNUMBER(SEARCH("spastic",$H108))),"40.11",""),IF(OR(ISNUMBER(SEARCH("faiblesse",$H108)),ISNUMBER(SEARCH("spastic",$H108))),"35.02",""))</f>
        <v/>
      </c>
      <c r="Y108" s="2">
        <f>TEXTJOIN(" | ",TRUE,IF($I108="Oui","Vision: correction (lunettes/lentilles) selon bilan ophtalmo.",""),IF(OR(ISNUMBER(SEARCH("diplop",$J108)),ISNUMBER(SEARCH("occlus",$J108))),"Si diplopie: prisme/occlusion/couvre-œil si indiqué + avis oph.",""),IF(OR(ISNUMBER(SEARCH("main droite",$H108)),ISNUMBER(SEARCH("hémipar",$H108)),ISNUMBER(SEARCH("hemipar",$H108))),"Si déficit MS: privilégier véhicule à boîte automatique + aide au volant/commandes.",""),IF(OR(ISNUMBER(SEARCH("équilibre",$H108)),ISNUMBER(SEARCH("equilibre",$H108)),ISNUMBER(SEARCH("atax",$H108))),"Si instabilité: siège avec soutien latéral / accoudoir.",""),IF(OR(ISNUMBER(SEARCH("hémianops",$J108)),ISNUMBER(SEARCH("hemianops",$J108))),"Si champ visuel limité: dispositifs de vision angle mort (si compatible) + avis spécialisé.",""))</f>
        <v/>
      </c>
    </row>
    <row r="109">
      <c r="T109" s="2">
        <f>IF($E109="&lt; 6 mois","FIN_A",IF($G109="Oui","FIN_A",IF($I109="Oui",IFERROR(IF(OR(ISNUMBER(SEARCH("hémianops",$J109)),ISNUMBER(SEARCH("hemianops",$J109)),ISNUMBER(SEARCH("quadranops",$J109)),ISNUMBER(SEARCH("diplop",$J109)),ISNUMBER(SEARCH("nystag",$J109)),ISNUMBER(SEARCH("saccad",$J109))),"FIN_A","FIN_E"),"FIN_E"),IF($K109="Oui","FIN_C",IF($M109="Oui","FIN_A",IF($N109="Oui","FIN_A",IF($O109="Oui","FIN_A",IF($P109="Oui","FIN_A",IF($Q109="Oui","FIN_D",IF($R109="Non","FIN_E",IF($S109="Oui","FIN_A","FIN_D"))))))))))))</f>
        <v/>
      </c>
      <c r="X109" s="2">
        <f>TEXTJOIN(", ",TRUE,IF($I109="Oui",IF(ISNUMBER(SEARCH("lent",$J109)),"01.02",IF(ISNUMBER(SEARCH("lunett",$J109)),"01.01","01.06")),""),IF(OR(ISNUMBER(SEARCH("diplop",$J109)),ISNUMBER(SEARCH("couvre",$J109)),ISNUMBER(SEARCH("occlus",$J109))),"01.05",""),IF(OR(ISNUMBER(SEARCH("main droite",$H109)),ISNUMBER(SEARCH("faiblesse droite",$H109)),ISNUMBER(SEARCH("hémipar",$H109)),ISNUMBER(SEARCH("hemipar",$H109))),"78",""),IF(OR(ISNUMBER(SEARCH("main",$H109)),ISNUMBER(SEARCH("membre supérieur",$H109)),ISNUMBER(SEARCH("membre superieur",$H109))),"03.01",""),IF(OR(ISNUMBER(SEARCH("équilibre",$H109)),ISNUMBER(SEARCH("equilibre",$H109)),ISNUMBER(SEARCH("atax",$H109))),"43.03",""),IF(OR(ISNUMBER(SEARCH("champ visuel",$J109)),ISNUMBER(SEARCH("hémianops",$J109)),ISNUMBER(SEARCH("hemianops",$J109))),"42.05",""),IF(OR(ISNUMBER(SEARCH("faiblesse",$H109)),ISNUMBER(SEARCH("spastic",$H109))),"40.11",""),IF(OR(ISNUMBER(SEARCH("faiblesse",$H109)),ISNUMBER(SEARCH("spastic",$H109))),"35.02",""))</f>
        <v/>
      </c>
      <c r="Y109" s="2">
        <f>TEXTJOIN(" | ",TRUE,IF($I109="Oui","Vision: correction (lunettes/lentilles) selon bilan ophtalmo.",""),IF(OR(ISNUMBER(SEARCH("diplop",$J109)),ISNUMBER(SEARCH("occlus",$J109))),"Si diplopie: prisme/occlusion/couvre-œil si indiqué + avis oph.",""),IF(OR(ISNUMBER(SEARCH("main droite",$H109)),ISNUMBER(SEARCH("hémipar",$H109)),ISNUMBER(SEARCH("hemipar",$H109))),"Si déficit MS: privilégier véhicule à boîte automatique + aide au volant/commandes.",""),IF(OR(ISNUMBER(SEARCH("équilibre",$H109)),ISNUMBER(SEARCH("equilibre",$H109)),ISNUMBER(SEARCH("atax",$H109))),"Si instabilité: siège avec soutien latéral / accoudoir.",""),IF(OR(ISNUMBER(SEARCH("hémianops",$J109)),ISNUMBER(SEARCH("hemianops",$J109))),"Si champ visuel limité: dispositifs de vision angle mort (si compatible) + avis spécialisé.",""))</f>
        <v/>
      </c>
    </row>
    <row r="110">
      <c r="T110" s="2">
        <f>IF($E110="&lt; 6 mois","FIN_A",IF($G110="Oui","FIN_A",IF($I110="Oui",IFERROR(IF(OR(ISNUMBER(SEARCH("hémianops",$J110)),ISNUMBER(SEARCH("hemianops",$J110)),ISNUMBER(SEARCH("quadranops",$J110)),ISNUMBER(SEARCH("diplop",$J110)),ISNUMBER(SEARCH("nystag",$J110)),ISNUMBER(SEARCH("saccad",$J110))),"FIN_A","FIN_E"),"FIN_E"),IF($K110="Oui","FIN_C",IF($M110="Oui","FIN_A",IF($N110="Oui","FIN_A",IF($O110="Oui","FIN_A",IF($P110="Oui","FIN_A",IF($Q110="Oui","FIN_D",IF($R110="Non","FIN_E",IF($S110="Oui","FIN_A","FIN_D"))))))))))))</f>
        <v/>
      </c>
      <c r="X110" s="2">
        <f>TEXTJOIN(", ",TRUE,IF($I110="Oui",IF(ISNUMBER(SEARCH("lent",$J110)),"01.02",IF(ISNUMBER(SEARCH("lunett",$J110)),"01.01","01.06")),""),IF(OR(ISNUMBER(SEARCH("diplop",$J110)),ISNUMBER(SEARCH("couvre",$J110)),ISNUMBER(SEARCH("occlus",$J110))),"01.05",""),IF(OR(ISNUMBER(SEARCH("main droite",$H110)),ISNUMBER(SEARCH("faiblesse droite",$H110)),ISNUMBER(SEARCH("hémipar",$H110)),ISNUMBER(SEARCH("hemipar",$H110))),"78",""),IF(OR(ISNUMBER(SEARCH("main",$H110)),ISNUMBER(SEARCH("membre supérieur",$H110)),ISNUMBER(SEARCH("membre superieur",$H110))),"03.01",""),IF(OR(ISNUMBER(SEARCH("équilibre",$H110)),ISNUMBER(SEARCH("equilibre",$H110)),ISNUMBER(SEARCH("atax",$H110))),"43.03",""),IF(OR(ISNUMBER(SEARCH("champ visuel",$J110)),ISNUMBER(SEARCH("hémianops",$J110)),ISNUMBER(SEARCH("hemianops",$J110))),"42.05",""),IF(OR(ISNUMBER(SEARCH("faiblesse",$H110)),ISNUMBER(SEARCH("spastic",$H110))),"40.11",""),IF(OR(ISNUMBER(SEARCH("faiblesse",$H110)),ISNUMBER(SEARCH("spastic",$H110))),"35.02",""))</f>
        <v/>
      </c>
      <c r="Y110" s="2">
        <f>TEXTJOIN(" | ",TRUE,IF($I110="Oui","Vision: correction (lunettes/lentilles) selon bilan ophtalmo.",""),IF(OR(ISNUMBER(SEARCH("diplop",$J110)),ISNUMBER(SEARCH("occlus",$J110))),"Si diplopie: prisme/occlusion/couvre-œil si indiqué + avis oph.",""),IF(OR(ISNUMBER(SEARCH("main droite",$H110)),ISNUMBER(SEARCH("hémipar",$H110)),ISNUMBER(SEARCH("hemipar",$H110))),"Si déficit MS: privilégier véhicule à boîte automatique + aide au volant/commandes.",""),IF(OR(ISNUMBER(SEARCH("équilibre",$H110)),ISNUMBER(SEARCH("equilibre",$H110)),ISNUMBER(SEARCH("atax",$H110))),"Si instabilité: siège avec soutien latéral / accoudoir.",""),IF(OR(ISNUMBER(SEARCH("hémianops",$J110)),ISNUMBER(SEARCH("hemianops",$J110))),"Si champ visuel limité: dispositifs de vision angle mort (si compatible) + avis spécialisé.",""))</f>
        <v/>
      </c>
    </row>
    <row r="111">
      <c r="T111" s="2">
        <f>IF($E111="&lt; 6 mois","FIN_A",IF($G111="Oui","FIN_A",IF($I111="Oui",IFERROR(IF(OR(ISNUMBER(SEARCH("hémianops",$J111)),ISNUMBER(SEARCH("hemianops",$J111)),ISNUMBER(SEARCH("quadranops",$J111)),ISNUMBER(SEARCH("diplop",$J111)),ISNUMBER(SEARCH("nystag",$J111)),ISNUMBER(SEARCH("saccad",$J111))),"FIN_A","FIN_E"),"FIN_E"),IF($K111="Oui","FIN_C",IF($M111="Oui","FIN_A",IF($N111="Oui","FIN_A",IF($O111="Oui","FIN_A",IF($P111="Oui","FIN_A",IF($Q111="Oui","FIN_D",IF($R111="Non","FIN_E",IF($S111="Oui","FIN_A","FIN_D"))))))))))))</f>
        <v/>
      </c>
      <c r="X111" s="2">
        <f>TEXTJOIN(", ",TRUE,IF($I111="Oui",IF(ISNUMBER(SEARCH("lent",$J111)),"01.02",IF(ISNUMBER(SEARCH("lunett",$J111)),"01.01","01.06")),""),IF(OR(ISNUMBER(SEARCH("diplop",$J111)),ISNUMBER(SEARCH("couvre",$J111)),ISNUMBER(SEARCH("occlus",$J111))),"01.05",""),IF(OR(ISNUMBER(SEARCH("main droite",$H111)),ISNUMBER(SEARCH("faiblesse droite",$H111)),ISNUMBER(SEARCH("hémipar",$H111)),ISNUMBER(SEARCH("hemipar",$H111))),"78",""),IF(OR(ISNUMBER(SEARCH("main",$H111)),ISNUMBER(SEARCH("membre supérieur",$H111)),ISNUMBER(SEARCH("membre superieur",$H111))),"03.01",""),IF(OR(ISNUMBER(SEARCH("équilibre",$H111)),ISNUMBER(SEARCH("equilibre",$H111)),ISNUMBER(SEARCH("atax",$H111))),"43.03",""),IF(OR(ISNUMBER(SEARCH("champ visuel",$J111)),ISNUMBER(SEARCH("hémianops",$J111)),ISNUMBER(SEARCH("hemianops",$J111))),"42.05",""),IF(OR(ISNUMBER(SEARCH("faiblesse",$H111)),ISNUMBER(SEARCH("spastic",$H111))),"40.11",""),IF(OR(ISNUMBER(SEARCH("faiblesse",$H111)),ISNUMBER(SEARCH("spastic",$H111))),"35.02",""))</f>
        <v/>
      </c>
      <c r="Y111" s="2">
        <f>TEXTJOIN(" | ",TRUE,IF($I111="Oui","Vision: correction (lunettes/lentilles) selon bilan ophtalmo.",""),IF(OR(ISNUMBER(SEARCH("diplop",$J111)),ISNUMBER(SEARCH("occlus",$J111))),"Si diplopie: prisme/occlusion/couvre-œil si indiqué + avis oph.",""),IF(OR(ISNUMBER(SEARCH("main droite",$H111)),ISNUMBER(SEARCH("hémipar",$H111)),ISNUMBER(SEARCH("hemipar",$H111))),"Si déficit MS: privilégier véhicule à boîte automatique + aide au volant/commandes.",""),IF(OR(ISNUMBER(SEARCH("équilibre",$H111)),ISNUMBER(SEARCH("equilibre",$H111)),ISNUMBER(SEARCH("atax",$H111))),"Si instabilité: siège avec soutien latéral / accoudoir.",""),IF(OR(ISNUMBER(SEARCH("hémianops",$J111)),ISNUMBER(SEARCH("hemianops",$J111))),"Si champ visuel limité: dispositifs de vision angle mort (si compatible) + avis spécialisé.",""))</f>
        <v/>
      </c>
    </row>
    <row r="112">
      <c r="T112" s="2">
        <f>IF($E112="&lt; 6 mois","FIN_A",IF($G112="Oui","FIN_A",IF($I112="Oui",IFERROR(IF(OR(ISNUMBER(SEARCH("hémianops",$J112)),ISNUMBER(SEARCH("hemianops",$J112)),ISNUMBER(SEARCH("quadranops",$J112)),ISNUMBER(SEARCH("diplop",$J112)),ISNUMBER(SEARCH("nystag",$J112)),ISNUMBER(SEARCH("saccad",$J112))),"FIN_A","FIN_E"),"FIN_E"),IF($K112="Oui","FIN_C",IF($M112="Oui","FIN_A",IF($N112="Oui","FIN_A",IF($O112="Oui","FIN_A",IF($P112="Oui","FIN_A",IF($Q112="Oui","FIN_D",IF($R112="Non","FIN_E",IF($S112="Oui","FIN_A","FIN_D"))))))))))))</f>
        <v/>
      </c>
      <c r="X112" s="2">
        <f>TEXTJOIN(", ",TRUE,IF($I112="Oui",IF(ISNUMBER(SEARCH("lent",$J112)),"01.02",IF(ISNUMBER(SEARCH("lunett",$J112)),"01.01","01.06")),""),IF(OR(ISNUMBER(SEARCH("diplop",$J112)),ISNUMBER(SEARCH("couvre",$J112)),ISNUMBER(SEARCH("occlus",$J112))),"01.05",""),IF(OR(ISNUMBER(SEARCH("main droite",$H112)),ISNUMBER(SEARCH("faiblesse droite",$H112)),ISNUMBER(SEARCH("hémipar",$H112)),ISNUMBER(SEARCH("hemipar",$H112))),"78",""),IF(OR(ISNUMBER(SEARCH("main",$H112)),ISNUMBER(SEARCH("membre supérieur",$H112)),ISNUMBER(SEARCH("membre superieur",$H112))),"03.01",""),IF(OR(ISNUMBER(SEARCH("équilibre",$H112)),ISNUMBER(SEARCH("equilibre",$H112)),ISNUMBER(SEARCH("atax",$H112))),"43.03",""),IF(OR(ISNUMBER(SEARCH("champ visuel",$J112)),ISNUMBER(SEARCH("hémianops",$J112)),ISNUMBER(SEARCH("hemianops",$J112))),"42.05",""),IF(OR(ISNUMBER(SEARCH("faiblesse",$H112)),ISNUMBER(SEARCH("spastic",$H112))),"40.11",""),IF(OR(ISNUMBER(SEARCH("faiblesse",$H112)),ISNUMBER(SEARCH("spastic",$H112))),"35.02",""))</f>
        <v/>
      </c>
      <c r="Y112" s="2">
        <f>TEXTJOIN(" | ",TRUE,IF($I112="Oui","Vision: correction (lunettes/lentilles) selon bilan ophtalmo.",""),IF(OR(ISNUMBER(SEARCH("diplop",$J112)),ISNUMBER(SEARCH("occlus",$J112))),"Si diplopie: prisme/occlusion/couvre-œil si indiqué + avis oph.",""),IF(OR(ISNUMBER(SEARCH("main droite",$H112)),ISNUMBER(SEARCH("hémipar",$H112)),ISNUMBER(SEARCH("hemipar",$H112))),"Si déficit MS: privilégier véhicule à boîte automatique + aide au volant/commandes.",""),IF(OR(ISNUMBER(SEARCH("équilibre",$H112)),ISNUMBER(SEARCH("equilibre",$H112)),ISNUMBER(SEARCH("atax",$H112))),"Si instabilité: siège avec soutien latéral / accoudoir.",""),IF(OR(ISNUMBER(SEARCH("hémianops",$J112)),ISNUMBER(SEARCH("hemianops",$J112))),"Si champ visuel limité: dispositifs de vision angle mort (si compatible) + avis spécialisé.",""))</f>
        <v/>
      </c>
    </row>
    <row r="113">
      <c r="T113" s="2">
        <f>IF($E113="&lt; 6 mois","FIN_A",IF($G113="Oui","FIN_A",IF($I113="Oui",IFERROR(IF(OR(ISNUMBER(SEARCH("hémianops",$J113)),ISNUMBER(SEARCH("hemianops",$J113)),ISNUMBER(SEARCH("quadranops",$J113)),ISNUMBER(SEARCH("diplop",$J113)),ISNUMBER(SEARCH("nystag",$J113)),ISNUMBER(SEARCH("saccad",$J113))),"FIN_A","FIN_E"),"FIN_E"),IF($K113="Oui","FIN_C",IF($M113="Oui","FIN_A",IF($N113="Oui","FIN_A",IF($O113="Oui","FIN_A",IF($P113="Oui","FIN_A",IF($Q113="Oui","FIN_D",IF($R113="Non","FIN_E",IF($S113="Oui","FIN_A","FIN_D"))))))))))))</f>
        <v/>
      </c>
      <c r="X113" s="2">
        <f>TEXTJOIN(", ",TRUE,IF($I113="Oui",IF(ISNUMBER(SEARCH("lent",$J113)),"01.02",IF(ISNUMBER(SEARCH("lunett",$J113)),"01.01","01.06")),""),IF(OR(ISNUMBER(SEARCH("diplop",$J113)),ISNUMBER(SEARCH("couvre",$J113)),ISNUMBER(SEARCH("occlus",$J113))),"01.05",""),IF(OR(ISNUMBER(SEARCH("main droite",$H113)),ISNUMBER(SEARCH("faiblesse droite",$H113)),ISNUMBER(SEARCH("hémipar",$H113)),ISNUMBER(SEARCH("hemipar",$H113))),"78",""),IF(OR(ISNUMBER(SEARCH("main",$H113)),ISNUMBER(SEARCH("membre supérieur",$H113)),ISNUMBER(SEARCH("membre superieur",$H113))),"03.01",""),IF(OR(ISNUMBER(SEARCH("équilibre",$H113)),ISNUMBER(SEARCH("equilibre",$H113)),ISNUMBER(SEARCH("atax",$H113))),"43.03",""),IF(OR(ISNUMBER(SEARCH("champ visuel",$J113)),ISNUMBER(SEARCH("hémianops",$J113)),ISNUMBER(SEARCH("hemianops",$J113))),"42.05",""),IF(OR(ISNUMBER(SEARCH("faiblesse",$H113)),ISNUMBER(SEARCH("spastic",$H113))),"40.11",""),IF(OR(ISNUMBER(SEARCH("faiblesse",$H113)),ISNUMBER(SEARCH("spastic",$H113))),"35.02",""))</f>
        <v/>
      </c>
      <c r="Y113" s="2">
        <f>TEXTJOIN(" | ",TRUE,IF($I113="Oui","Vision: correction (lunettes/lentilles) selon bilan ophtalmo.",""),IF(OR(ISNUMBER(SEARCH("diplop",$J113)),ISNUMBER(SEARCH("occlus",$J113))),"Si diplopie: prisme/occlusion/couvre-œil si indiqué + avis oph.",""),IF(OR(ISNUMBER(SEARCH("main droite",$H113)),ISNUMBER(SEARCH("hémipar",$H113)),ISNUMBER(SEARCH("hemipar",$H113))),"Si déficit MS: privilégier véhicule à boîte automatique + aide au volant/commandes.",""),IF(OR(ISNUMBER(SEARCH("équilibre",$H113)),ISNUMBER(SEARCH("equilibre",$H113)),ISNUMBER(SEARCH("atax",$H113))),"Si instabilité: siège avec soutien latéral / accoudoir.",""),IF(OR(ISNUMBER(SEARCH("hémianops",$J113)),ISNUMBER(SEARCH("hemianops",$J113))),"Si champ visuel limité: dispositifs de vision angle mort (si compatible) + avis spécialisé.",""))</f>
        <v/>
      </c>
    </row>
    <row r="114">
      <c r="T114" s="2">
        <f>IF($E114="&lt; 6 mois","FIN_A",IF($G114="Oui","FIN_A",IF($I114="Oui",IFERROR(IF(OR(ISNUMBER(SEARCH("hémianops",$J114)),ISNUMBER(SEARCH("hemianops",$J114)),ISNUMBER(SEARCH("quadranops",$J114)),ISNUMBER(SEARCH("diplop",$J114)),ISNUMBER(SEARCH("nystag",$J114)),ISNUMBER(SEARCH("saccad",$J114))),"FIN_A","FIN_E"),"FIN_E"),IF($K114="Oui","FIN_C",IF($M114="Oui","FIN_A",IF($N114="Oui","FIN_A",IF($O114="Oui","FIN_A",IF($P114="Oui","FIN_A",IF($Q114="Oui","FIN_D",IF($R114="Non","FIN_E",IF($S114="Oui","FIN_A","FIN_D"))))))))))))</f>
        <v/>
      </c>
      <c r="X114" s="2">
        <f>TEXTJOIN(", ",TRUE,IF($I114="Oui",IF(ISNUMBER(SEARCH("lent",$J114)),"01.02",IF(ISNUMBER(SEARCH("lunett",$J114)),"01.01","01.06")),""),IF(OR(ISNUMBER(SEARCH("diplop",$J114)),ISNUMBER(SEARCH("couvre",$J114)),ISNUMBER(SEARCH("occlus",$J114))),"01.05",""),IF(OR(ISNUMBER(SEARCH("main droite",$H114)),ISNUMBER(SEARCH("faiblesse droite",$H114)),ISNUMBER(SEARCH("hémipar",$H114)),ISNUMBER(SEARCH("hemipar",$H114))),"78",""),IF(OR(ISNUMBER(SEARCH("main",$H114)),ISNUMBER(SEARCH("membre supérieur",$H114)),ISNUMBER(SEARCH("membre superieur",$H114))),"03.01",""),IF(OR(ISNUMBER(SEARCH("équilibre",$H114)),ISNUMBER(SEARCH("equilibre",$H114)),ISNUMBER(SEARCH("atax",$H114))),"43.03",""),IF(OR(ISNUMBER(SEARCH("champ visuel",$J114)),ISNUMBER(SEARCH("hémianops",$J114)),ISNUMBER(SEARCH("hemianops",$J114))),"42.05",""),IF(OR(ISNUMBER(SEARCH("faiblesse",$H114)),ISNUMBER(SEARCH("spastic",$H114))),"40.11",""),IF(OR(ISNUMBER(SEARCH("faiblesse",$H114)),ISNUMBER(SEARCH("spastic",$H114))),"35.02",""))</f>
        <v/>
      </c>
      <c r="Y114" s="2">
        <f>TEXTJOIN(" | ",TRUE,IF($I114="Oui","Vision: correction (lunettes/lentilles) selon bilan ophtalmo.",""),IF(OR(ISNUMBER(SEARCH("diplop",$J114)),ISNUMBER(SEARCH("occlus",$J114))),"Si diplopie: prisme/occlusion/couvre-œil si indiqué + avis oph.",""),IF(OR(ISNUMBER(SEARCH("main droite",$H114)),ISNUMBER(SEARCH("hémipar",$H114)),ISNUMBER(SEARCH("hemipar",$H114))),"Si déficit MS: privilégier véhicule à boîte automatique + aide au volant/commandes.",""),IF(OR(ISNUMBER(SEARCH("équilibre",$H114)),ISNUMBER(SEARCH("equilibre",$H114)),ISNUMBER(SEARCH("atax",$H114))),"Si instabilité: siège avec soutien latéral / accoudoir.",""),IF(OR(ISNUMBER(SEARCH("hémianops",$J114)),ISNUMBER(SEARCH("hemianops",$J114))),"Si champ visuel limité: dispositifs de vision angle mort (si compatible) + avis spécialisé.",""))</f>
        <v/>
      </c>
    </row>
    <row r="115">
      <c r="T115" s="2">
        <f>IF($E115="&lt; 6 mois","FIN_A",IF($G115="Oui","FIN_A",IF($I115="Oui",IFERROR(IF(OR(ISNUMBER(SEARCH("hémianops",$J115)),ISNUMBER(SEARCH("hemianops",$J115)),ISNUMBER(SEARCH("quadranops",$J115)),ISNUMBER(SEARCH("diplop",$J115)),ISNUMBER(SEARCH("nystag",$J115)),ISNUMBER(SEARCH("saccad",$J115))),"FIN_A","FIN_E"),"FIN_E"),IF($K115="Oui","FIN_C",IF($M115="Oui","FIN_A",IF($N115="Oui","FIN_A",IF($O115="Oui","FIN_A",IF($P115="Oui","FIN_A",IF($Q115="Oui","FIN_D",IF($R115="Non","FIN_E",IF($S115="Oui","FIN_A","FIN_D"))))))))))))</f>
        <v/>
      </c>
      <c r="X115" s="2">
        <f>TEXTJOIN(", ",TRUE,IF($I115="Oui",IF(ISNUMBER(SEARCH("lent",$J115)),"01.02",IF(ISNUMBER(SEARCH("lunett",$J115)),"01.01","01.06")),""),IF(OR(ISNUMBER(SEARCH("diplop",$J115)),ISNUMBER(SEARCH("couvre",$J115)),ISNUMBER(SEARCH("occlus",$J115))),"01.05",""),IF(OR(ISNUMBER(SEARCH("main droite",$H115)),ISNUMBER(SEARCH("faiblesse droite",$H115)),ISNUMBER(SEARCH("hémipar",$H115)),ISNUMBER(SEARCH("hemipar",$H115))),"78",""),IF(OR(ISNUMBER(SEARCH("main",$H115)),ISNUMBER(SEARCH("membre supérieur",$H115)),ISNUMBER(SEARCH("membre superieur",$H115))),"03.01",""),IF(OR(ISNUMBER(SEARCH("équilibre",$H115)),ISNUMBER(SEARCH("equilibre",$H115)),ISNUMBER(SEARCH("atax",$H115))),"43.03",""),IF(OR(ISNUMBER(SEARCH("champ visuel",$J115)),ISNUMBER(SEARCH("hémianops",$J115)),ISNUMBER(SEARCH("hemianops",$J115))),"42.05",""),IF(OR(ISNUMBER(SEARCH("faiblesse",$H115)),ISNUMBER(SEARCH("spastic",$H115))),"40.11",""),IF(OR(ISNUMBER(SEARCH("faiblesse",$H115)),ISNUMBER(SEARCH("spastic",$H115))),"35.02",""))</f>
        <v/>
      </c>
      <c r="Y115" s="2">
        <f>TEXTJOIN(" | ",TRUE,IF($I115="Oui","Vision: correction (lunettes/lentilles) selon bilan ophtalmo.",""),IF(OR(ISNUMBER(SEARCH("diplop",$J115)),ISNUMBER(SEARCH("occlus",$J115))),"Si diplopie: prisme/occlusion/couvre-œil si indiqué + avis oph.",""),IF(OR(ISNUMBER(SEARCH("main droite",$H115)),ISNUMBER(SEARCH("hémipar",$H115)),ISNUMBER(SEARCH("hemipar",$H115))),"Si déficit MS: privilégier véhicule à boîte automatique + aide au volant/commandes.",""),IF(OR(ISNUMBER(SEARCH("équilibre",$H115)),ISNUMBER(SEARCH("equilibre",$H115)),ISNUMBER(SEARCH("atax",$H115))),"Si instabilité: siège avec soutien latéral / accoudoir.",""),IF(OR(ISNUMBER(SEARCH("hémianops",$J115)),ISNUMBER(SEARCH("hemianops",$J115))),"Si champ visuel limité: dispositifs de vision angle mort (si compatible) + avis spécialisé.",""))</f>
        <v/>
      </c>
    </row>
    <row r="116">
      <c r="T116" s="2">
        <f>IF($E116="&lt; 6 mois","FIN_A",IF($G116="Oui","FIN_A",IF($I116="Oui",IFERROR(IF(OR(ISNUMBER(SEARCH("hémianops",$J116)),ISNUMBER(SEARCH("hemianops",$J116)),ISNUMBER(SEARCH("quadranops",$J116)),ISNUMBER(SEARCH("diplop",$J116)),ISNUMBER(SEARCH("nystag",$J116)),ISNUMBER(SEARCH("saccad",$J116))),"FIN_A","FIN_E"),"FIN_E"),IF($K116="Oui","FIN_C",IF($M116="Oui","FIN_A",IF($N116="Oui","FIN_A",IF($O116="Oui","FIN_A",IF($P116="Oui","FIN_A",IF($Q116="Oui","FIN_D",IF($R116="Non","FIN_E",IF($S116="Oui","FIN_A","FIN_D"))))))))))))</f>
        <v/>
      </c>
      <c r="X116" s="2">
        <f>TEXTJOIN(", ",TRUE,IF($I116="Oui",IF(ISNUMBER(SEARCH("lent",$J116)),"01.02",IF(ISNUMBER(SEARCH("lunett",$J116)),"01.01","01.06")),""),IF(OR(ISNUMBER(SEARCH("diplop",$J116)),ISNUMBER(SEARCH("couvre",$J116)),ISNUMBER(SEARCH("occlus",$J116))),"01.05",""),IF(OR(ISNUMBER(SEARCH("main droite",$H116)),ISNUMBER(SEARCH("faiblesse droite",$H116)),ISNUMBER(SEARCH("hémipar",$H116)),ISNUMBER(SEARCH("hemipar",$H116))),"78",""),IF(OR(ISNUMBER(SEARCH("main",$H116)),ISNUMBER(SEARCH("membre supérieur",$H116)),ISNUMBER(SEARCH("membre superieur",$H116))),"03.01",""),IF(OR(ISNUMBER(SEARCH("équilibre",$H116)),ISNUMBER(SEARCH("equilibre",$H116)),ISNUMBER(SEARCH("atax",$H116))),"43.03",""),IF(OR(ISNUMBER(SEARCH("champ visuel",$J116)),ISNUMBER(SEARCH("hémianops",$J116)),ISNUMBER(SEARCH("hemianops",$J116))),"42.05",""),IF(OR(ISNUMBER(SEARCH("faiblesse",$H116)),ISNUMBER(SEARCH("spastic",$H116))),"40.11",""),IF(OR(ISNUMBER(SEARCH("faiblesse",$H116)),ISNUMBER(SEARCH("spastic",$H116))),"35.02",""))</f>
        <v/>
      </c>
      <c r="Y116" s="2">
        <f>TEXTJOIN(" | ",TRUE,IF($I116="Oui","Vision: correction (lunettes/lentilles) selon bilan ophtalmo.",""),IF(OR(ISNUMBER(SEARCH("diplop",$J116)),ISNUMBER(SEARCH("occlus",$J116))),"Si diplopie: prisme/occlusion/couvre-œil si indiqué + avis oph.",""),IF(OR(ISNUMBER(SEARCH("main droite",$H116)),ISNUMBER(SEARCH("hémipar",$H116)),ISNUMBER(SEARCH("hemipar",$H116))),"Si déficit MS: privilégier véhicule à boîte automatique + aide au volant/commandes.",""),IF(OR(ISNUMBER(SEARCH("équilibre",$H116)),ISNUMBER(SEARCH("equilibre",$H116)),ISNUMBER(SEARCH("atax",$H116))),"Si instabilité: siège avec soutien latéral / accoudoir.",""),IF(OR(ISNUMBER(SEARCH("hémianops",$J116)),ISNUMBER(SEARCH("hemianops",$J116))),"Si champ visuel limité: dispositifs de vision angle mort (si compatible) + avis spécialisé.",""))</f>
        <v/>
      </c>
    </row>
    <row r="117">
      <c r="T117" s="2">
        <f>IF($E117="&lt; 6 mois","FIN_A",IF($G117="Oui","FIN_A",IF($I117="Oui",IFERROR(IF(OR(ISNUMBER(SEARCH("hémianops",$J117)),ISNUMBER(SEARCH("hemianops",$J117)),ISNUMBER(SEARCH("quadranops",$J117)),ISNUMBER(SEARCH("diplop",$J117)),ISNUMBER(SEARCH("nystag",$J117)),ISNUMBER(SEARCH("saccad",$J117))),"FIN_A","FIN_E"),"FIN_E"),IF($K117="Oui","FIN_C",IF($M117="Oui","FIN_A",IF($N117="Oui","FIN_A",IF($O117="Oui","FIN_A",IF($P117="Oui","FIN_A",IF($Q117="Oui","FIN_D",IF($R117="Non","FIN_E",IF($S117="Oui","FIN_A","FIN_D"))))))))))))</f>
        <v/>
      </c>
      <c r="X117" s="2">
        <f>TEXTJOIN(", ",TRUE,IF($I117="Oui",IF(ISNUMBER(SEARCH("lent",$J117)),"01.02",IF(ISNUMBER(SEARCH("lunett",$J117)),"01.01","01.06")),""),IF(OR(ISNUMBER(SEARCH("diplop",$J117)),ISNUMBER(SEARCH("couvre",$J117)),ISNUMBER(SEARCH("occlus",$J117))),"01.05",""),IF(OR(ISNUMBER(SEARCH("main droite",$H117)),ISNUMBER(SEARCH("faiblesse droite",$H117)),ISNUMBER(SEARCH("hémipar",$H117)),ISNUMBER(SEARCH("hemipar",$H117))),"78",""),IF(OR(ISNUMBER(SEARCH("main",$H117)),ISNUMBER(SEARCH("membre supérieur",$H117)),ISNUMBER(SEARCH("membre superieur",$H117))),"03.01",""),IF(OR(ISNUMBER(SEARCH("équilibre",$H117)),ISNUMBER(SEARCH("equilibre",$H117)),ISNUMBER(SEARCH("atax",$H117))),"43.03",""),IF(OR(ISNUMBER(SEARCH("champ visuel",$J117)),ISNUMBER(SEARCH("hémianops",$J117)),ISNUMBER(SEARCH("hemianops",$J117))),"42.05",""),IF(OR(ISNUMBER(SEARCH("faiblesse",$H117)),ISNUMBER(SEARCH("spastic",$H117))),"40.11",""),IF(OR(ISNUMBER(SEARCH("faiblesse",$H117)),ISNUMBER(SEARCH("spastic",$H117))),"35.02",""))</f>
        <v/>
      </c>
      <c r="Y117" s="2">
        <f>TEXTJOIN(" | ",TRUE,IF($I117="Oui","Vision: correction (lunettes/lentilles) selon bilan ophtalmo.",""),IF(OR(ISNUMBER(SEARCH("diplop",$J117)),ISNUMBER(SEARCH("occlus",$J117))),"Si diplopie: prisme/occlusion/couvre-œil si indiqué + avis oph.",""),IF(OR(ISNUMBER(SEARCH("main droite",$H117)),ISNUMBER(SEARCH("hémipar",$H117)),ISNUMBER(SEARCH("hemipar",$H117))),"Si déficit MS: privilégier véhicule à boîte automatique + aide au volant/commandes.",""),IF(OR(ISNUMBER(SEARCH("équilibre",$H117)),ISNUMBER(SEARCH("equilibre",$H117)),ISNUMBER(SEARCH("atax",$H117))),"Si instabilité: siège avec soutien latéral / accoudoir.",""),IF(OR(ISNUMBER(SEARCH("hémianops",$J117)),ISNUMBER(SEARCH("hemianops",$J117))),"Si champ visuel limité: dispositifs de vision angle mort (si compatible) + avis spécialisé.",""))</f>
        <v/>
      </c>
    </row>
    <row r="118">
      <c r="T118" s="2">
        <f>IF($E118="&lt; 6 mois","FIN_A",IF($G118="Oui","FIN_A",IF($I118="Oui",IFERROR(IF(OR(ISNUMBER(SEARCH("hémianops",$J118)),ISNUMBER(SEARCH("hemianops",$J118)),ISNUMBER(SEARCH("quadranops",$J118)),ISNUMBER(SEARCH("diplop",$J118)),ISNUMBER(SEARCH("nystag",$J118)),ISNUMBER(SEARCH("saccad",$J118))),"FIN_A","FIN_E"),"FIN_E"),IF($K118="Oui","FIN_C",IF($M118="Oui","FIN_A",IF($N118="Oui","FIN_A",IF($O118="Oui","FIN_A",IF($P118="Oui","FIN_A",IF($Q118="Oui","FIN_D",IF($R118="Non","FIN_E",IF($S118="Oui","FIN_A","FIN_D"))))))))))))</f>
        <v/>
      </c>
      <c r="X118" s="2">
        <f>TEXTJOIN(", ",TRUE,IF($I118="Oui",IF(ISNUMBER(SEARCH("lent",$J118)),"01.02",IF(ISNUMBER(SEARCH("lunett",$J118)),"01.01","01.06")),""),IF(OR(ISNUMBER(SEARCH("diplop",$J118)),ISNUMBER(SEARCH("couvre",$J118)),ISNUMBER(SEARCH("occlus",$J118))),"01.05",""),IF(OR(ISNUMBER(SEARCH("main droite",$H118)),ISNUMBER(SEARCH("faiblesse droite",$H118)),ISNUMBER(SEARCH("hémipar",$H118)),ISNUMBER(SEARCH("hemipar",$H118))),"78",""),IF(OR(ISNUMBER(SEARCH("main",$H118)),ISNUMBER(SEARCH("membre supérieur",$H118)),ISNUMBER(SEARCH("membre superieur",$H118))),"03.01",""),IF(OR(ISNUMBER(SEARCH("équilibre",$H118)),ISNUMBER(SEARCH("equilibre",$H118)),ISNUMBER(SEARCH("atax",$H118))),"43.03",""),IF(OR(ISNUMBER(SEARCH("champ visuel",$J118)),ISNUMBER(SEARCH("hémianops",$J118)),ISNUMBER(SEARCH("hemianops",$J118))),"42.05",""),IF(OR(ISNUMBER(SEARCH("faiblesse",$H118)),ISNUMBER(SEARCH("spastic",$H118))),"40.11",""),IF(OR(ISNUMBER(SEARCH("faiblesse",$H118)),ISNUMBER(SEARCH("spastic",$H118))),"35.02",""))</f>
        <v/>
      </c>
      <c r="Y118" s="2">
        <f>TEXTJOIN(" | ",TRUE,IF($I118="Oui","Vision: correction (lunettes/lentilles) selon bilan ophtalmo.",""),IF(OR(ISNUMBER(SEARCH("diplop",$J118)),ISNUMBER(SEARCH("occlus",$J118))),"Si diplopie: prisme/occlusion/couvre-œil si indiqué + avis oph.",""),IF(OR(ISNUMBER(SEARCH("main droite",$H118)),ISNUMBER(SEARCH("hémipar",$H118)),ISNUMBER(SEARCH("hemipar",$H118))),"Si déficit MS: privilégier véhicule à boîte automatique + aide au volant/commandes.",""),IF(OR(ISNUMBER(SEARCH("équilibre",$H118)),ISNUMBER(SEARCH("equilibre",$H118)),ISNUMBER(SEARCH("atax",$H118))),"Si instabilité: siège avec soutien latéral / accoudoir.",""),IF(OR(ISNUMBER(SEARCH("hémianops",$J118)),ISNUMBER(SEARCH("hemianops",$J118))),"Si champ visuel limité: dispositifs de vision angle mort (si compatible) + avis spécialisé.",""))</f>
        <v/>
      </c>
    </row>
    <row r="119">
      <c r="T119" s="2">
        <f>IF($E119="&lt; 6 mois","FIN_A",IF($G119="Oui","FIN_A",IF($I119="Oui",IFERROR(IF(OR(ISNUMBER(SEARCH("hémianops",$J119)),ISNUMBER(SEARCH("hemianops",$J119)),ISNUMBER(SEARCH("quadranops",$J119)),ISNUMBER(SEARCH("diplop",$J119)),ISNUMBER(SEARCH("nystag",$J119)),ISNUMBER(SEARCH("saccad",$J119))),"FIN_A","FIN_E"),"FIN_E"),IF($K119="Oui","FIN_C",IF($M119="Oui","FIN_A",IF($N119="Oui","FIN_A",IF($O119="Oui","FIN_A",IF($P119="Oui","FIN_A",IF($Q119="Oui","FIN_D",IF($R119="Non","FIN_E",IF($S119="Oui","FIN_A","FIN_D"))))))))))))</f>
        <v/>
      </c>
      <c r="X119" s="2">
        <f>TEXTJOIN(", ",TRUE,IF($I119="Oui",IF(ISNUMBER(SEARCH("lent",$J119)),"01.02",IF(ISNUMBER(SEARCH("lunett",$J119)),"01.01","01.06")),""),IF(OR(ISNUMBER(SEARCH("diplop",$J119)),ISNUMBER(SEARCH("couvre",$J119)),ISNUMBER(SEARCH("occlus",$J119))),"01.05",""),IF(OR(ISNUMBER(SEARCH("main droite",$H119)),ISNUMBER(SEARCH("faiblesse droite",$H119)),ISNUMBER(SEARCH("hémipar",$H119)),ISNUMBER(SEARCH("hemipar",$H119))),"78",""),IF(OR(ISNUMBER(SEARCH("main",$H119)),ISNUMBER(SEARCH("membre supérieur",$H119)),ISNUMBER(SEARCH("membre superieur",$H119))),"03.01",""),IF(OR(ISNUMBER(SEARCH("équilibre",$H119)),ISNUMBER(SEARCH("equilibre",$H119)),ISNUMBER(SEARCH("atax",$H119))),"43.03",""),IF(OR(ISNUMBER(SEARCH("champ visuel",$J119)),ISNUMBER(SEARCH("hémianops",$J119)),ISNUMBER(SEARCH("hemianops",$J119))),"42.05",""),IF(OR(ISNUMBER(SEARCH("faiblesse",$H119)),ISNUMBER(SEARCH("spastic",$H119))),"40.11",""),IF(OR(ISNUMBER(SEARCH("faiblesse",$H119)),ISNUMBER(SEARCH("spastic",$H119))),"35.02",""))</f>
        <v/>
      </c>
      <c r="Y119" s="2">
        <f>TEXTJOIN(" | ",TRUE,IF($I119="Oui","Vision: correction (lunettes/lentilles) selon bilan ophtalmo.",""),IF(OR(ISNUMBER(SEARCH("diplop",$J119)),ISNUMBER(SEARCH("occlus",$J119))),"Si diplopie: prisme/occlusion/couvre-œil si indiqué + avis oph.",""),IF(OR(ISNUMBER(SEARCH("main droite",$H119)),ISNUMBER(SEARCH("hémipar",$H119)),ISNUMBER(SEARCH("hemipar",$H119))),"Si déficit MS: privilégier véhicule à boîte automatique + aide au volant/commandes.",""),IF(OR(ISNUMBER(SEARCH("équilibre",$H119)),ISNUMBER(SEARCH("equilibre",$H119)),ISNUMBER(SEARCH("atax",$H119))),"Si instabilité: siège avec soutien latéral / accoudoir.",""),IF(OR(ISNUMBER(SEARCH("hémianops",$J119)),ISNUMBER(SEARCH("hemianops",$J119))),"Si champ visuel limité: dispositifs de vision angle mort (si compatible) + avis spécialisé.",""))</f>
        <v/>
      </c>
    </row>
    <row r="120">
      <c r="T120" s="2">
        <f>IF($E120="&lt; 6 mois","FIN_A",IF($G120="Oui","FIN_A",IF($I120="Oui",IFERROR(IF(OR(ISNUMBER(SEARCH("hémianops",$J120)),ISNUMBER(SEARCH("hemianops",$J120)),ISNUMBER(SEARCH("quadranops",$J120)),ISNUMBER(SEARCH("diplop",$J120)),ISNUMBER(SEARCH("nystag",$J120)),ISNUMBER(SEARCH("saccad",$J120))),"FIN_A","FIN_E"),"FIN_E"),IF($K120="Oui","FIN_C",IF($M120="Oui","FIN_A",IF($N120="Oui","FIN_A",IF($O120="Oui","FIN_A",IF($P120="Oui","FIN_A",IF($Q120="Oui","FIN_D",IF($R120="Non","FIN_E",IF($S120="Oui","FIN_A","FIN_D"))))))))))))</f>
        <v/>
      </c>
      <c r="X120" s="2">
        <f>TEXTJOIN(", ",TRUE,IF($I120="Oui",IF(ISNUMBER(SEARCH("lent",$J120)),"01.02",IF(ISNUMBER(SEARCH("lunett",$J120)),"01.01","01.06")),""),IF(OR(ISNUMBER(SEARCH("diplop",$J120)),ISNUMBER(SEARCH("couvre",$J120)),ISNUMBER(SEARCH("occlus",$J120))),"01.05",""),IF(OR(ISNUMBER(SEARCH("main droite",$H120)),ISNUMBER(SEARCH("faiblesse droite",$H120)),ISNUMBER(SEARCH("hémipar",$H120)),ISNUMBER(SEARCH("hemipar",$H120))),"78",""),IF(OR(ISNUMBER(SEARCH("main",$H120)),ISNUMBER(SEARCH("membre supérieur",$H120)),ISNUMBER(SEARCH("membre superieur",$H120))),"03.01",""),IF(OR(ISNUMBER(SEARCH("équilibre",$H120)),ISNUMBER(SEARCH("equilibre",$H120)),ISNUMBER(SEARCH("atax",$H120))),"43.03",""),IF(OR(ISNUMBER(SEARCH("champ visuel",$J120)),ISNUMBER(SEARCH("hémianops",$J120)),ISNUMBER(SEARCH("hemianops",$J120))),"42.05",""),IF(OR(ISNUMBER(SEARCH("faiblesse",$H120)),ISNUMBER(SEARCH("spastic",$H120))),"40.11",""),IF(OR(ISNUMBER(SEARCH("faiblesse",$H120)),ISNUMBER(SEARCH("spastic",$H120))),"35.02",""))</f>
        <v/>
      </c>
      <c r="Y120" s="2">
        <f>TEXTJOIN(" | ",TRUE,IF($I120="Oui","Vision: correction (lunettes/lentilles) selon bilan ophtalmo.",""),IF(OR(ISNUMBER(SEARCH("diplop",$J120)),ISNUMBER(SEARCH("occlus",$J120))),"Si diplopie: prisme/occlusion/couvre-œil si indiqué + avis oph.",""),IF(OR(ISNUMBER(SEARCH("main droite",$H120)),ISNUMBER(SEARCH("hémipar",$H120)),ISNUMBER(SEARCH("hemipar",$H120))),"Si déficit MS: privilégier véhicule à boîte automatique + aide au volant/commandes.",""),IF(OR(ISNUMBER(SEARCH("équilibre",$H120)),ISNUMBER(SEARCH("equilibre",$H120)),ISNUMBER(SEARCH("atax",$H120))),"Si instabilité: siège avec soutien latéral / accoudoir.",""),IF(OR(ISNUMBER(SEARCH("hémianops",$J120)),ISNUMBER(SEARCH("hemianops",$J120))),"Si champ visuel limité: dispositifs de vision angle mort (si compatible) + avis spécialisé.",""))</f>
        <v/>
      </c>
    </row>
    <row r="121">
      <c r="T121" s="2">
        <f>IF($E121="&lt; 6 mois","FIN_A",IF($G121="Oui","FIN_A",IF($I121="Oui",IFERROR(IF(OR(ISNUMBER(SEARCH("hémianops",$J121)),ISNUMBER(SEARCH("hemianops",$J121)),ISNUMBER(SEARCH("quadranops",$J121)),ISNUMBER(SEARCH("diplop",$J121)),ISNUMBER(SEARCH("nystag",$J121)),ISNUMBER(SEARCH("saccad",$J121))),"FIN_A","FIN_E"),"FIN_E"),IF($K121="Oui","FIN_C",IF($M121="Oui","FIN_A",IF($N121="Oui","FIN_A",IF($O121="Oui","FIN_A",IF($P121="Oui","FIN_A",IF($Q121="Oui","FIN_D",IF($R121="Non","FIN_E",IF($S121="Oui","FIN_A","FIN_D"))))))))))))</f>
        <v/>
      </c>
      <c r="X121" s="2">
        <f>TEXTJOIN(", ",TRUE,IF($I121="Oui",IF(ISNUMBER(SEARCH("lent",$J121)),"01.02",IF(ISNUMBER(SEARCH("lunett",$J121)),"01.01","01.06")),""),IF(OR(ISNUMBER(SEARCH("diplop",$J121)),ISNUMBER(SEARCH("couvre",$J121)),ISNUMBER(SEARCH("occlus",$J121))),"01.05",""),IF(OR(ISNUMBER(SEARCH("main droite",$H121)),ISNUMBER(SEARCH("faiblesse droite",$H121)),ISNUMBER(SEARCH("hémipar",$H121)),ISNUMBER(SEARCH("hemipar",$H121))),"78",""),IF(OR(ISNUMBER(SEARCH("main",$H121)),ISNUMBER(SEARCH("membre supérieur",$H121)),ISNUMBER(SEARCH("membre superieur",$H121))),"03.01",""),IF(OR(ISNUMBER(SEARCH("équilibre",$H121)),ISNUMBER(SEARCH("equilibre",$H121)),ISNUMBER(SEARCH("atax",$H121))),"43.03",""),IF(OR(ISNUMBER(SEARCH("champ visuel",$J121)),ISNUMBER(SEARCH("hémianops",$J121)),ISNUMBER(SEARCH("hemianops",$J121))),"42.05",""),IF(OR(ISNUMBER(SEARCH("faiblesse",$H121)),ISNUMBER(SEARCH("spastic",$H121))),"40.11",""),IF(OR(ISNUMBER(SEARCH("faiblesse",$H121)),ISNUMBER(SEARCH("spastic",$H121))),"35.02",""))</f>
        <v/>
      </c>
      <c r="Y121" s="2">
        <f>TEXTJOIN(" | ",TRUE,IF($I121="Oui","Vision: correction (lunettes/lentilles) selon bilan ophtalmo.",""),IF(OR(ISNUMBER(SEARCH("diplop",$J121)),ISNUMBER(SEARCH("occlus",$J121))),"Si diplopie: prisme/occlusion/couvre-œil si indiqué + avis oph.",""),IF(OR(ISNUMBER(SEARCH("main droite",$H121)),ISNUMBER(SEARCH("hémipar",$H121)),ISNUMBER(SEARCH("hemipar",$H121))),"Si déficit MS: privilégier véhicule à boîte automatique + aide au volant/commandes.",""),IF(OR(ISNUMBER(SEARCH("équilibre",$H121)),ISNUMBER(SEARCH("equilibre",$H121)),ISNUMBER(SEARCH("atax",$H121))),"Si instabilité: siège avec soutien latéral / accoudoir.",""),IF(OR(ISNUMBER(SEARCH("hémianops",$J121)),ISNUMBER(SEARCH("hemianops",$J121))),"Si champ visuel limité: dispositifs de vision angle mort (si compatible) + avis spécialisé.",""))</f>
        <v/>
      </c>
    </row>
    <row r="122">
      <c r="T122" s="2">
        <f>IF($E122="&lt; 6 mois","FIN_A",IF($G122="Oui","FIN_A",IF($I122="Oui",IFERROR(IF(OR(ISNUMBER(SEARCH("hémianops",$J122)),ISNUMBER(SEARCH("hemianops",$J122)),ISNUMBER(SEARCH("quadranops",$J122)),ISNUMBER(SEARCH("diplop",$J122)),ISNUMBER(SEARCH("nystag",$J122)),ISNUMBER(SEARCH("saccad",$J122))),"FIN_A","FIN_E"),"FIN_E"),IF($K122="Oui","FIN_C",IF($M122="Oui","FIN_A",IF($N122="Oui","FIN_A",IF($O122="Oui","FIN_A",IF($P122="Oui","FIN_A",IF($Q122="Oui","FIN_D",IF($R122="Non","FIN_E",IF($S122="Oui","FIN_A","FIN_D"))))))))))))</f>
        <v/>
      </c>
      <c r="X122" s="2">
        <f>TEXTJOIN(", ",TRUE,IF($I122="Oui",IF(ISNUMBER(SEARCH("lent",$J122)),"01.02",IF(ISNUMBER(SEARCH("lunett",$J122)),"01.01","01.06")),""),IF(OR(ISNUMBER(SEARCH("diplop",$J122)),ISNUMBER(SEARCH("couvre",$J122)),ISNUMBER(SEARCH("occlus",$J122))),"01.05",""),IF(OR(ISNUMBER(SEARCH("main droite",$H122)),ISNUMBER(SEARCH("faiblesse droite",$H122)),ISNUMBER(SEARCH("hémipar",$H122)),ISNUMBER(SEARCH("hemipar",$H122))),"78",""),IF(OR(ISNUMBER(SEARCH("main",$H122)),ISNUMBER(SEARCH("membre supérieur",$H122)),ISNUMBER(SEARCH("membre superieur",$H122))),"03.01",""),IF(OR(ISNUMBER(SEARCH("équilibre",$H122)),ISNUMBER(SEARCH("equilibre",$H122)),ISNUMBER(SEARCH("atax",$H122))),"43.03",""),IF(OR(ISNUMBER(SEARCH("champ visuel",$J122)),ISNUMBER(SEARCH("hémianops",$J122)),ISNUMBER(SEARCH("hemianops",$J122))),"42.05",""),IF(OR(ISNUMBER(SEARCH("faiblesse",$H122)),ISNUMBER(SEARCH("spastic",$H122))),"40.11",""),IF(OR(ISNUMBER(SEARCH("faiblesse",$H122)),ISNUMBER(SEARCH("spastic",$H122))),"35.02",""))</f>
        <v/>
      </c>
      <c r="Y122" s="2">
        <f>TEXTJOIN(" | ",TRUE,IF($I122="Oui","Vision: correction (lunettes/lentilles) selon bilan ophtalmo.",""),IF(OR(ISNUMBER(SEARCH("diplop",$J122)),ISNUMBER(SEARCH("occlus",$J122))),"Si diplopie: prisme/occlusion/couvre-œil si indiqué + avis oph.",""),IF(OR(ISNUMBER(SEARCH("main droite",$H122)),ISNUMBER(SEARCH("hémipar",$H122)),ISNUMBER(SEARCH("hemipar",$H122))),"Si déficit MS: privilégier véhicule à boîte automatique + aide au volant/commandes.",""),IF(OR(ISNUMBER(SEARCH("équilibre",$H122)),ISNUMBER(SEARCH("equilibre",$H122)),ISNUMBER(SEARCH("atax",$H122))),"Si instabilité: siège avec soutien latéral / accoudoir.",""),IF(OR(ISNUMBER(SEARCH("hémianops",$J122)),ISNUMBER(SEARCH("hemianops",$J122))),"Si champ visuel limité: dispositifs de vision angle mort (si compatible) + avis spécialisé.",""))</f>
        <v/>
      </c>
    </row>
    <row r="123">
      <c r="T123" s="2">
        <f>IF($E123="&lt; 6 mois","FIN_A",IF($G123="Oui","FIN_A",IF($I123="Oui",IFERROR(IF(OR(ISNUMBER(SEARCH("hémianops",$J123)),ISNUMBER(SEARCH("hemianops",$J123)),ISNUMBER(SEARCH("quadranops",$J123)),ISNUMBER(SEARCH("diplop",$J123)),ISNUMBER(SEARCH("nystag",$J123)),ISNUMBER(SEARCH("saccad",$J123))),"FIN_A","FIN_E"),"FIN_E"),IF($K123="Oui","FIN_C",IF($M123="Oui","FIN_A",IF($N123="Oui","FIN_A",IF($O123="Oui","FIN_A",IF($P123="Oui","FIN_A",IF($Q123="Oui","FIN_D",IF($R123="Non","FIN_E",IF($S123="Oui","FIN_A","FIN_D"))))))))))))</f>
        <v/>
      </c>
      <c r="X123" s="2">
        <f>TEXTJOIN(", ",TRUE,IF($I123="Oui",IF(ISNUMBER(SEARCH("lent",$J123)),"01.02",IF(ISNUMBER(SEARCH("lunett",$J123)),"01.01","01.06")),""),IF(OR(ISNUMBER(SEARCH("diplop",$J123)),ISNUMBER(SEARCH("couvre",$J123)),ISNUMBER(SEARCH("occlus",$J123))),"01.05",""),IF(OR(ISNUMBER(SEARCH("main droite",$H123)),ISNUMBER(SEARCH("faiblesse droite",$H123)),ISNUMBER(SEARCH("hémipar",$H123)),ISNUMBER(SEARCH("hemipar",$H123))),"78",""),IF(OR(ISNUMBER(SEARCH("main",$H123)),ISNUMBER(SEARCH("membre supérieur",$H123)),ISNUMBER(SEARCH("membre superieur",$H123))),"03.01",""),IF(OR(ISNUMBER(SEARCH("équilibre",$H123)),ISNUMBER(SEARCH("equilibre",$H123)),ISNUMBER(SEARCH("atax",$H123))),"43.03",""),IF(OR(ISNUMBER(SEARCH("champ visuel",$J123)),ISNUMBER(SEARCH("hémianops",$J123)),ISNUMBER(SEARCH("hemianops",$J123))),"42.05",""),IF(OR(ISNUMBER(SEARCH("faiblesse",$H123)),ISNUMBER(SEARCH("spastic",$H123))),"40.11",""),IF(OR(ISNUMBER(SEARCH("faiblesse",$H123)),ISNUMBER(SEARCH("spastic",$H123))),"35.02",""))</f>
        <v/>
      </c>
      <c r="Y123" s="2">
        <f>TEXTJOIN(" | ",TRUE,IF($I123="Oui","Vision: correction (lunettes/lentilles) selon bilan ophtalmo.",""),IF(OR(ISNUMBER(SEARCH("diplop",$J123)),ISNUMBER(SEARCH("occlus",$J123))),"Si diplopie: prisme/occlusion/couvre-œil si indiqué + avis oph.",""),IF(OR(ISNUMBER(SEARCH("main droite",$H123)),ISNUMBER(SEARCH("hémipar",$H123)),ISNUMBER(SEARCH("hemipar",$H123))),"Si déficit MS: privilégier véhicule à boîte automatique + aide au volant/commandes.",""),IF(OR(ISNUMBER(SEARCH("équilibre",$H123)),ISNUMBER(SEARCH("equilibre",$H123)),ISNUMBER(SEARCH("atax",$H123))),"Si instabilité: siège avec soutien latéral / accoudoir.",""),IF(OR(ISNUMBER(SEARCH("hémianops",$J123)),ISNUMBER(SEARCH("hemianops",$J123))),"Si champ visuel limité: dispositifs de vision angle mort (si compatible) + avis spécialisé.",""))</f>
        <v/>
      </c>
    </row>
    <row r="124">
      <c r="T124" s="2">
        <f>IF($E124="&lt; 6 mois","FIN_A",IF($G124="Oui","FIN_A",IF($I124="Oui",IFERROR(IF(OR(ISNUMBER(SEARCH("hémianops",$J124)),ISNUMBER(SEARCH("hemianops",$J124)),ISNUMBER(SEARCH("quadranops",$J124)),ISNUMBER(SEARCH("diplop",$J124)),ISNUMBER(SEARCH("nystag",$J124)),ISNUMBER(SEARCH("saccad",$J124))),"FIN_A","FIN_E"),"FIN_E"),IF($K124="Oui","FIN_C",IF($M124="Oui","FIN_A",IF($N124="Oui","FIN_A",IF($O124="Oui","FIN_A",IF($P124="Oui","FIN_A",IF($Q124="Oui","FIN_D",IF($R124="Non","FIN_E",IF($S124="Oui","FIN_A","FIN_D"))))))))))))</f>
        <v/>
      </c>
      <c r="X124" s="2">
        <f>TEXTJOIN(", ",TRUE,IF($I124="Oui",IF(ISNUMBER(SEARCH("lent",$J124)),"01.02",IF(ISNUMBER(SEARCH("lunett",$J124)),"01.01","01.06")),""),IF(OR(ISNUMBER(SEARCH("diplop",$J124)),ISNUMBER(SEARCH("couvre",$J124)),ISNUMBER(SEARCH("occlus",$J124))),"01.05",""),IF(OR(ISNUMBER(SEARCH("main droite",$H124)),ISNUMBER(SEARCH("faiblesse droite",$H124)),ISNUMBER(SEARCH("hémipar",$H124)),ISNUMBER(SEARCH("hemipar",$H124))),"78",""),IF(OR(ISNUMBER(SEARCH("main",$H124)),ISNUMBER(SEARCH("membre supérieur",$H124)),ISNUMBER(SEARCH("membre superieur",$H124))),"03.01",""),IF(OR(ISNUMBER(SEARCH("équilibre",$H124)),ISNUMBER(SEARCH("equilibre",$H124)),ISNUMBER(SEARCH("atax",$H124))),"43.03",""),IF(OR(ISNUMBER(SEARCH("champ visuel",$J124)),ISNUMBER(SEARCH("hémianops",$J124)),ISNUMBER(SEARCH("hemianops",$J124))),"42.05",""),IF(OR(ISNUMBER(SEARCH("faiblesse",$H124)),ISNUMBER(SEARCH("spastic",$H124))),"40.11",""),IF(OR(ISNUMBER(SEARCH("faiblesse",$H124)),ISNUMBER(SEARCH("spastic",$H124))),"35.02",""))</f>
        <v/>
      </c>
      <c r="Y124" s="2">
        <f>TEXTJOIN(" | ",TRUE,IF($I124="Oui","Vision: correction (lunettes/lentilles) selon bilan ophtalmo.",""),IF(OR(ISNUMBER(SEARCH("diplop",$J124)),ISNUMBER(SEARCH("occlus",$J124))),"Si diplopie: prisme/occlusion/couvre-œil si indiqué + avis oph.",""),IF(OR(ISNUMBER(SEARCH("main droite",$H124)),ISNUMBER(SEARCH("hémipar",$H124)),ISNUMBER(SEARCH("hemipar",$H124))),"Si déficit MS: privilégier véhicule à boîte automatique + aide au volant/commandes.",""),IF(OR(ISNUMBER(SEARCH("équilibre",$H124)),ISNUMBER(SEARCH("equilibre",$H124)),ISNUMBER(SEARCH("atax",$H124))),"Si instabilité: siège avec soutien latéral / accoudoir.",""),IF(OR(ISNUMBER(SEARCH("hémianops",$J124)),ISNUMBER(SEARCH("hemianops",$J124))),"Si champ visuel limité: dispositifs de vision angle mort (si compatible) + avis spécialisé.",""))</f>
        <v/>
      </c>
    </row>
    <row r="125">
      <c r="T125" s="2">
        <f>IF($E125="&lt; 6 mois","FIN_A",IF($G125="Oui","FIN_A",IF($I125="Oui",IFERROR(IF(OR(ISNUMBER(SEARCH("hémianops",$J125)),ISNUMBER(SEARCH("hemianops",$J125)),ISNUMBER(SEARCH("quadranops",$J125)),ISNUMBER(SEARCH("diplop",$J125)),ISNUMBER(SEARCH("nystag",$J125)),ISNUMBER(SEARCH("saccad",$J125))),"FIN_A","FIN_E"),"FIN_E"),IF($K125="Oui","FIN_C",IF($M125="Oui","FIN_A",IF($N125="Oui","FIN_A",IF($O125="Oui","FIN_A",IF($P125="Oui","FIN_A",IF($Q125="Oui","FIN_D",IF($R125="Non","FIN_E",IF($S125="Oui","FIN_A","FIN_D"))))))))))))</f>
        <v/>
      </c>
      <c r="X125" s="2">
        <f>TEXTJOIN(", ",TRUE,IF($I125="Oui",IF(ISNUMBER(SEARCH("lent",$J125)),"01.02",IF(ISNUMBER(SEARCH("lunett",$J125)),"01.01","01.06")),""),IF(OR(ISNUMBER(SEARCH("diplop",$J125)),ISNUMBER(SEARCH("couvre",$J125)),ISNUMBER(SEARCH("occlus",$J125))),"01.05",""),IF(OR(ISNUMBER(SEARCH("main droite",$H125)),ISNUMBER(SEARCH("faiblesse droite",$H125)),ISNUMBER(SEARCH("hémipar",$H125)),ISNUMBER(SEARCH("hemipar",$H125))),"78",""),IF(OR(ISNUMBER(SEARCH("main",$H125)),ISNUMBER(SEARCH("membre supérieur",$H125)),ISNUMBER(SEARCH("membre superieur",$H125))),"03.01",""),IF(OR(ISNUMBER(SEARCH("équilibre",$H125)),ISNUMBER(SEARCH("equilibre",$H125)),ISNUMBER(SEARCH("atax",$H125))),"43.03",""),IF(OR(ISNUMBER(SEARCH("champ visuel",$J125)),ISNUMBER(SEARCH("hémianops",$J125)),ISNUMBER(SEARCH("hemianops",$J125))),"42.05",""),IF(OR(ISNUMBER(SEARCH("faiblesse",$H125)),ISNUMBER(SEARCH("spastic",$H125))),"40.11",""),IF(OR(ISNUMBER(SEARCH("faiblesse",$H125)),ISNUMBER(SEARCH("spastic",$H125))),"35.02",""))</f>
        <v/>
      </c>
      <c r="Y125" s="2">
        <f>TEXTJOIN(" | ",TRUE,IF($I125="Oui","Vision: correction (lunettes/lentilles) selon bilan ophtalmo.",""),IF(OR(ISNUMBER(SEARCH("diplop",$J125)),ISNUMBER(SEARCH("occlus",$J125))),"Si diplopie: prisme/occlusion/couvre-œil si indiqué + avis oph.",""),IF(OR(ISNUMBER(SEARCH("main droite",$H125)),ISNUMBER(SEARCH("hémipar",$H125)),ISNUMBER(SEARCH("hemipar",$H125))),"Si déficit MS: privilégier véhicule à boîte automatique + aide au volant/commandes.",""),IF(OR(ISNUMBER(SEARCH("équilibre",$H125)),ISNUMBER(SEARCH("equilibre",$H125)),ISNUMBER(SEARCH("atax",$H125))),"Si instabilité: siège avec soutien latéral / accoudoir.",""),IF(OR(ISNUMBER(SEARCH("hémianops",$J125)),ISNUMBER(SEARCH("hemianops",$J125))),"Si champ visuel limité: dispositifs de vision angle mort (si compatible) + avis spécialisé.",""))</f>
        <v/>
      </c>
    </row>
    <row r="126">
      <c r="T126" s="2">
        <f>IF($E126="&lt; 6 mois","FIN_A",IF($G126="Oui","FIN_A",IF($I126="Oui",IFERROR(IF(OR(ISNUMBER(SEARCH("hémianops",$J126)),ISNUMBER(SEARCH("hemianops",$J126)),ISNUMBER(SEARCH("quadranops",$J126)),ISNUMBER(SEARCH("diplop",$J126)),ISNUMBER(SEARCH("nystag",$J126)),ISNUMBER(SEARCH("saccad",$J126))),"FIN_A","FIN_E"),"FIN_E"),IF($K126="Oui","FIN_C",IF($M126="Oui","FIN_A",IF($N126="Oui","FIN_A",IF($O126="Oui","FIN_A",IF($P126="Oui","FIN_A",IF($Q126="Oui","FIN_D",IF($R126="Non","FIN_E",IF($S126="Oui","FIN_A","FIN_D"))))))))))))</f>
        <v/>
      </c>
      <c r="X126" s="2">
        <f>TEXTJOIN(", ",TRUE,IF($I126="Oui",IF(ISNUMBER(SEARCH("lent",$J126)),"01.02",IF(ISNUMBER(SEARCH("lunett",$J126)),"01.01","01.06")),""),IF(OR(ISNUMBER(SEARCH("diplop",$J126)),ISNUMBER(SEARCH("couvre",$J126)),ISNUMBER(SEARCH("occlus",$J126))),"01.05",""),IF(OR(ISNUMBER(SEARCH("main droite",$H126)),ISNUMBER(SEARCH("faiblesse droite",$H126)),ISNUMBER(SEARCH("hémipar",$H126)),ISNUMBER(SEARCH("hemipar",$H126))),"78",""),IF(OR(ISNUMBER(SEARCH("main",$H126)),ISNUMBER(SEARCH("membre supérieur",$H126)),ISNUMBER(SEARCH("membre superieur",$H126))),"03.01",""),IF(OR(ISNUMBER(SEARCH("équilibre",$H126)),ISNUMBER(SEARCH("equilibre",$H126)),ISNUMBER(SEARCH("atax",$H126))),"43.03",""),IF(OR(ISNUMBER(SEARCH("champ visuel",$J126)),ISNUMBER(SEARCH("hémianops",$J126)),ISNUMBER(SEARCH("hemianops",$J126))),"42.05",""),IF(OR(ISNUMBER(SEARCH("faiblesse",$H126)),ISNUMBER(SEARCH("spastic",$H126))),"40.11",""),IF(OR(ISNUMBER(SEARCH("faiblesse",$H126)),ISNUMBER(SEARCH("spastic",$H126))),"35.02",""))</f>
        <v/>
      </c>
      <c r="Y126" s="2">
        <f>TEXTJOIN(" | ",TRUE,IF($I126="Oui","Vision: correction (lunettes/lentilles) selon bilan ophtalmo.",""),IF(OR(ISNUMBER(SEARCH("diplop",$J126)),ISNUMBER(SEARCH("occlus",$J126))),"Si diplopie: prisme/occlusion/couvre-œil si indiqué + avis oph.",""),IF(OR(ISNUMBER(SEARCH("main droite",$H126)),ISNUMBER(SEARCH("hémipar",$H126)),ISNUMBER(SEARCH("hemipar",$H126))),"Si déficit MS: privilégier véhicule à boîte automatique + aide au volant/commandes.",""),IF(OR(ISNUMBER(SEARCH("équilibre",$H126)),ISNUMBER(SEARCH("equilibre",$H126)),ISNUMBER(SEARCH("atax",$H126))),"Si instabilité: siège avec soutien latéral / accoudoir.",""),IF(OR(ISNUMBER(SEARCH("hémianops",$J126)),ISNUMBER(SEARCH("hemianops",$J126))),"Si champ visuel limité: dispositifs de vision angle mort (si compatible) + avis spécialisé.",""))</f>
        <v/>
      </c>
    </row>
    <row r="127">
      <c r="T127" s="2">
        <f>IF($E127="&lt; 6 mois","FIN_A",IF($G127="Oui","FIN_A",IF($I127="Oui",IFERROR(IF(OR(ISNUMBER(SEARCH("hémianops",$J127)),ISNUMBER(SEARCH("hemianops",$J127)),ISNUMBER(SEARCH("quadranops",$J127)),ISNUMBER(SEARCH("diplop",$J127)),ISNUMBER(SEARCH("nystag",$J127)),ISNUMBER(SEARCH("saccad",$J127))),"FIN_A","FIN_E"),"FIN_E"),IF($K127="Oui","FIN_C",IF($M127="Oui","FIN_A",IF($N127="Oui","FIN_A",IF($O127="Oui","FIN_A",IF($P127="Oui","FIN_A",IF($Q127="Oui","FIN_D",IF($R127="Non","FIN_E",IF($S127="Oui","FIN_A","FIN_D"))))))))))))</f>
        <v/>
      </c>
      <c r="X127" s="2">
        <f>TEXTJOIN(", ",TRUE,IF($I127="Oui",IF(ISNUMBER(SEARCH("lent",$J127)),"01.02",IF(ISNUMBER(SEARCH("lunett",$J127)),"01.01","01.06")),""),IF(OR(ISNUMBER(SEARCH("diplop",$J127)),ISNUMBER(SEARCH("couvre",$J127)),ISNUMBER(SEARCH("occlus",$J127))),"01.05",""),IF(OR(ISNUMBER(SEARCH("main droite",$H127)),ISNUMBER(SEARCH("faiblesse droite",$H127)),ISNUMBER(SEARCH("hémipar",$H127)),ISNUMBER(SEARCH("hemipar",$H127))),"78",""),IF(OR(ISNUMBER(SEARCH("main",$H127)),ISNUMBER(SEARCH("membre supérieur",$H127)),ISNUMBER(SEARCH("membre superieur",$H127))),"03.01",""),IF(OR(ISNUMBER(SEARCH("équilibre",$H127)),ISNUMBER(SEARCH("equilibre",$H127)),ISNUMBER(SEARCH("atax",$H127))),"43.03",""),IF(OR(ISNUMBER(SEARCH("champ visuel",$J127)),ISNUMBER(SEARCH("hémianops",$J127)),ISNUMBER(SEARCH("hemianops",$J127))),"42.05",""),IF(OR(ISNUMBER(SEARCH("faiblesse",$H127)),ISNUMBER(SEARCH("spastic",$H127))),"40.11",""),IF(OR(ISNUMBER(SEARCH("faiblesse",$H127)),ISNUMBER(SEARCH("spastic",$H127))),"35.02",""))</f>
        <v/>
      </c>
      <c r="Y127" s="2">
        <f>TEXTJOIN(" | ",TRUE,IF($I127="Oui","Vision: correction (lunettes/lentilles) selon bilan ophtalmo.",""),IF(OR(ISNUMBER(SEARCH("diplop",$J127)),ISNUMBER(SEARCH("occlus",$J127))),"Si diplopie: prisme/occlusion/couvre-œil si indiqué + avis oph.",""),IF(OR(ISNUMBER(SEARCH("main droite",$H127)),ISNUMBER(SEARCH("hémipar",$H127)),ISNUMBER(SEARCH("hemipar",$H127))),"Si déficit MS: privilégier véhicule à boîte automatique + aide au volant/commandes.",""),IF(OR(ISNUMBER(SEARCH("équilibre",$H127)),ISNUMBER(SEARCH("equilibre",$H127)),ISNUMBER(SEARCH("atax",$H127))),"Si instabilité: siège avec soutien latéral / accoudoir.",""),IF(OR(ISNUMBER(SEARCH("hémianops",$J127)),ISNUMBER(SEARCH("hemianops",$J127))),"Si champ visuel limité: dispositifs de vision angle mort (si compatible) + avis spécialisé.",""))</f>
        <v/>
      </c>
    </row>
    <row r="128">
      <c r="T128" s="2">
        <f>IF($E128="&lt; 6 mois","FIN_A",IF($G128="Oui","FIN_A",IF($I128="Oui",IFERROR(IF(OR(ISNUMBER(SEARCH("hémianops",$J128)),ISNUMBER(SEARCH("hemianops",$J128)),ISNUMBER(SEARCH("quadranops",$J128)),ISNUMBER(SEARCH("diplop",$J128)),ISNUMBER(SEARCH("nystag",$J128)),ISNUMBER(SEARCH("saccad",$J128))),"FIN_A","FIN_E"),"FIN_E"),IF($K128="Oui","FIN_C",IF($M128="Oui","FIN_A",IF($N128="Oui","FIN_A",IF($O128="Oui","FIN_A",IF($P128="Oui","FIN_A",IF($Q128="Oui","FIN_D",IF($R128="Non","FIN_E",IF($S128="Oui","FIN_A","FIN_D"))))))))))))</f>
        <v/>
      </c>
      <c r="X128" s="2">
        <f>TEXTJOIN(", ",TRUE,IF($I128="Oui",IF(ISNUMBER(SEARCH("lent",$J128)),"01.02",IF(ISNUMBER(SEARCH("lunett",$J128)),"01.01","01.06")),""),IF(OR(ISNUMBER(SEARCH("diplop",$J128)),ISNUMBER(SEARCH("couvre",$J128)),ISNUMBER(SEARCH("occlus",$J128))),"01.05",""),IF(OR(ISNUMBER(SEARCH("main droite",$H128)),ISNUMBER(SEARCH("faiblesse droite",$H128)),ISNUMBER(SEARCH("hémipar",$H128)),ISNUMBER(SEARCH("hemipar",$H128))),"78",""),IF(OR(ISNUMBER(SEARCH("main",$H128)),ISNUMBER(SEARCH("membre supérieur",$H128)),ISNUMBER(SEARCH("membre superieur",$H128))),"03.01",""),IF(OR(ISNUMBER(SEARCH("équilibre",$H128)),ISNUMBER(SEARCH("equilibre",$H128)),ISNUMBER(SEARCH("atax",$H128))),"43.03",""),IF(OR(ISNUMBER(SEARCH("champ visuel",$J128)),ISNUMBER(SEARCH("hémianops",$J128)),ISNUMBER(SEARCH("hemianops",$J128))),"42.05",""),IF(OR(ISNUMBER(SEARCH("faiblesse",$H128)),ISNUMBER(SEARCH("spastic",$H128))),"40.11",""),IF(OR(ISNUMBER(SEARCH("faiblesse",$H128)),ISNUMBER(SEARCH("spastic",$H128))),"35.02",""))</f>
        <v/>
      </c>
      <c r="Y128" s="2">
        <f>TEXTJOIN(" | ",TRUE,IF($I128="Oui","Vision: correction (lunettes/lentilles) selon bilan ophtalmo.",""),IF(OR(ISNUMBER(SEARCH("diplop",$J128)),ISNUMBER(SEARCH("occlus",$J128))),"Si diplopie: prisme/occlusion/couvre-œil si indiqué + avis oph.",""),IF(OR(ISNUMBER(SEARCH("main droite",$H128)),ISNUMBER(SEARCH("hémipar",$H128)),ISNUMBER(SEARCH("hemipar",$H128))),"Si déficit MS: privilégier véhicule à boîte automatique + aide au volant/commandes.",""),IF(OR(ISNUMBER(SEARCH("équilibre",$H128)),ISNUMBER(SEARCH("equilibre",$H128)),ISNUMBER(SEARCH("atax",$H128))),"Si instabilité: siège avec soutien latéral / accoudoir.",""),IF(OR(ISNUMBER(SEARCH("hémianops",$J128)),ISNUMBER(SEARCH("hemianops",$J128))),"Si champ visuel limité: dispositifs de vision angle mort (si compatible) + avis spécialisé.",""))</f>
        <v/>
      </c>
    </row>
    <row r="129">
      <c r="T129" s="2">
        <f>IF($E129="&lt; 6 mois","FIN_A",IF($G129="Oui","FIN_A",IF($I129="Oui",IFERROR(IF(OR(ISNUMBER(SEARCH("hémianops",$J129)),ISNUMBER(SEARCH("hemianops",$J129)),ISNUMBER(SEARCH("quadranops",$J129)),ISNUMBER(SEARCH("diplop",$J129)),ISNUMBER(SEARCH("nystag",$J129)),ISNUMBER(SEARCH("saccad",$J129))),"FIN_A","FIN_E"),"FIN_E"),IF($K129="Oui","FIN_C",IF($M129="Oui","FIN_A",IF($N129="Oui","FIN_A",IF($O129="Oui","FIN_A",IF($P129="Oui","FIN_A",IF($Q129="Oui","FIN_D",IF($R129="Non","FIN_E",IF($S129="Oui","FIN_A","FIN_D"))))))))))))</f>
        <v/>
      </c>
      <c r="X129" s="2">
        <f>TEXTJOIN(", ",TRUE,IF($I129="Oui",IF(ISNUMBER(SEARCH("lent",$J129)),"01.02",IF(ISNUMBER(SEARCH("lunett",$J129)),"01.01","01.06")),""),IF(OR(ISNUMBER(SEARCH("diplop",$J129)),ISNUMBER(SEARCH("couvre",$J129)),ISNUMBER(SEARCH("occlus",$J129))),"01.05",""),IF(OR(ISNUMBER(SEARCH("main droite",$H129)),ISNUMBER(SEARCH("faiblesse droite",$H129)),ISNUMBER(SEARCH("hémipar",$H129)),ISNUMBER(SEARCH("hemipar",$H129))),"78",""),IF(OR(ISNUMBER(SEARCH("main",$H129)),ISNUMBER(SEARCH("membre supérieur",$H129)),ISNUMBER(SEARCH("membre superieur",$H129))),"03.01",""),IF(OR(ISNUMBER(SEARCH("équilibre",$H129)),ISNUMBER(SEARCH("equilibre",$H129)),ISNUMBER(SEARCH("atax",$H129))),"43.03",""),IF(OR(ISNUMBER(SEARCH("champ visuel",$J129)),ISNUMBER(SEARCH("hémianops",$J129)),ISNUMBER(SEARCH("hemianops",$J129))),"42.05",""),IF(OR(ISNUMBER(SEARCH("faiblesse",$H129)),ISNUMBER(SEARCH("spastic",$H129))),"40.11",""),IF(OR(ISNUMBER(SEARCH("faiblesse",$H129)),ISNUMBER(SEARCH("spastic",$H129))),"35.02",""))</f>
        <v/>
      </c>
      <c r="Y129" s="2">
        <f>TEXTJOIN(" | ",TRUE,IF($I129="Oui","Vision: correction (lunettes/lentilles) selon bilan ophtalmo.",""),IF(OR(ISNUMBER(SEARCH("diplop",$J129)),ISNUMBER(SEARCH("occlus",$J129))),"Si diplopie: prisme/occlusion/couvre-œil si indiqué + avis oph.",""),IF(OR(ISNUMBER(SEARCH("main droite",$H129)),ISNUMBER(SEARCH("hémipar",$H129)),ISNUMBER(SEARCH("hemipar",$H129))),"Si déficit MS: privilégier véhicule à boîte automatique + aide au volant/commandes.",""),IF(OR(ISNUMBER(SEARCH("équilibre",$H129)),ISNUMBER(SEARCH("equilibre",$H129)),ISNUMBER(SEARCH("atax",$H129))),"Si instabilité: siège avec soutien latéral / accoudoir.",""),IF(OR(ISNUMBER(SEARCH("hémianops",$J129)),ISNUMBER(SEARCH("hemianops",$J129))),"Si champ visuel limité: dispositifs de vision angle mort (si compatible) + avis spécialisé.",""))</f>
        <v/>
      </c>
    </row>
    <row r="130">
      <c r="T130" s="2">
        <f>IF($E130="&lt; 6 mois","FIN_A",IF($G130="Oui","FIN_A",IF($I130="Oui",IFERROR(IF(OR(ISNUMBER(SEARCH("hémianops",$J130)),ISNUMBER(SEARCH("hemianops",$J130)),ISNUMBER(SEARCH("quadranops",$J130)),ISNUMBER(SEARCH("diplop",$J130)),ISNUMBER(SEARCH("nystag",$J130)),ISNUMBER(SEARCH("saccad",$J130))),"FIN_A","FIN_E"),"FIN_E"),IF($K130="Oui","FIN_C",IF($M130="Oui","FIN_A",IF($N130="Oui","FIN_A",IF($O130="Oui","FIN_A",IF($P130="Oui","FIN_A",IF($Q130="Oui","FIN_D",IF($R130="Non","FIN_E",IF($S130="Oui","FIN_A","FIN_D"))))))))))))</f>
        <v/>
      </c>
      <c r="X130" s="2">
        <f>TEXTJOIN(", ",TRUE,IF($I130="Oui",IF(ISNUMBER(SEARCH("lent",$J130)),"01.02",IF(ISNUMBER(SEARCH("lunett",$J130)),"01.01","01.06")),""),IF(OR(ISNUMBER(SEARCH("diplop",$J130)),ISNUMBER(SEARCH("couvre",$J130)),ISNUMBER(SEARCH("occlus",$J130))),"01.05",""),IF(OR(ISNUMBER(SEARCH("main droite",$H130)),ISNUMBER(SEARCH("faiblesse droite",$H130)),ISNUMBER(SEARCH("hémipar",$H130)),ISNUMBER(SEARCH("hemipar",$H130))),"78",""),IF(OR(ISNUMBER(SEARCH("main",$H130)),ISNUMBER(SEARCH("membre supérieur",$H130)),ISNUMBER(SEARCH("membre superieur",$H130))),"03.01",""),IF(OR(ISNUMBER(SEARCH("équilibre",$H130)),ISNUMBER(SEARCH("equilibre",$H130)),ISNUMBER(SEARCH("atax",$H130))),"43.03",""),IF(OR(ISNUMBER(SEARCH("champ visuel",$J130)),ISNUMBER(SEARCH("hémianops",$J130)),ISNUMBER(SEARCH("hemianops",$J130))),"42.05",""),IF(OR(ISNUMBER(SEARCH("faiblesse",$H130)),ISNUMBER(SEARCH("spastic",$H130))),"40.11",""),IF(OR(ISNUMBER(SEARCH("faiblesse",$H130)),ISNUMBER(SEARCH("spastic",$H130))),"35.02",""))</f>
        <v/>
      </c>
      <c r="Y130" s="2">
        <f>TEXTJOIN(" | ",TRUE,IF($I130="Oui","Vision: correction (lunettes/lentilles) selon bilan ophtalmo.",""),IF(OR(ISNUMBER(SEARCH("diplop",$J130)),ISNUMBER(SEARCH("occlus",$J130))),"Si diplopie: prisme/occlusion/couvre-œil si indiqué + avis oph.",""),IF(OR(ISNUMBER(SEARCH("main droite",$H130)),ISNUMBER(SEARCH("hémipar",$H130)),ISNUMBER(SEARCH("hemipar",$H130))),"Si déficit MS: privilégier véhicule à boîte automatique + aide au volant/commandes.",""),IF(OR(ISNUMBER(SEARCH("équilibre",$H130)),ISNUMBER(SEARCH("equilibre",$H130)),ISNUMBER(SEARCH("atax",$H130))),"Si instabilité: siège avec soutien latéral / accoudoir.",""),IF(OR(ISNUMBER(SEARCH("hémianops",$J130)),ISNUMBER(SEARCH("hemianops",$J130))),"Si champ visuel limité: dispositifs de vision angle mort (si compatible) + avis spécialisé.",""))</f>
        <v/>
      </c>
    </row>
    <row r="131">
      <c r="T131" s="2">
        <f>IF($E131="&lt; 6 mois","FIN_A",IF($G131="Oui","FIN_A",IF($I131="Oui",IFERROR(IF(OR(ISNUMBER(SEARCH("hémianops",$J131)),ISNUMBER(SEARCH("hemianops",$J131)),ISNUMBER(SEARCH("quadranops",$J131)),ISNUMBER(SEARCH("diplop",$J131)),ISNUMBER(SEARCH("nystag",$J131)),ISNUMBER(SEARCH("saccad",$J131))),"FIN_A","FIN_E"),"FIN_E"),IF($K131="Oui","FIN_C",IF($M131="Oui","FIN_A",IF($N131="Oui","FIN_A",IF($O131="Oui","FIN_A",IF($P131="Oui","FIN_A",IF($Q131="Oui","FIN_D",IF($R131="Non","FIN_E",IF($S131="Oui","FIN_A","FIN_D"))))))))))))</f>
        <v/>
      </c>
      <c r="X131" s="2">
        <f>TEXTJOIN(", ",TRUE,IF($I131="Oui",IF(ISNUMBER(SEARCH("lent",$J131)),"01.02",IF(ISNUMBER(SEARCH("lunett",$J131)),"01.01","01.06")),""),IF(OR(ISNUMBER(SEARCH("diplop",$J131)),ISNUMBER(SEARCH("couvre",$J131)),ISNUMBER(SEARCH("occlus",$J131))),"01.05",""),IF(OR(ISNUMBER(SEARCH("main droite",$H131)),ISNUMBER(SEARCH("faiblesse droite",$H131)),ISNUMBER(SEARCH("hémipar",$H131)),ISNUMBER(SEARCH("hemipar",$H131))),"78",""),IF(OR(ISNUMBER(SEARCH("main",$H131)),ISNUMBER(SEARCH("membre supérieur",$H131)),ISNUMBER(SEARCH("membre superieur",$H131))),"03.01",""),IF(OR(ISNUMBER(SEARCH("équilibre",$H131)),ISNUMBER(SEARCH("equilibre",$H131)),ISNUMBER(SEARCH("atax",$H131))),"43.03",""),IF(OR(ISNUMBER(SEARCH("champ visuel",$J131)),ISNUMBER(SEARCH("hémianops",$J131)),ISNUMBER(SEARCH("hemianops",$J131))),"42.05",""),IF(OR(ISNUMBER(SEARCH("faiblesse",$H131)),ISNUMBER(SEARCH("spastic",$H131))),"40.11",""),IF(OR(ISNUMBER(SEARCH("faiblesse",$H131)),ISNUMBER(SEARCH("spastic",$H131))),"35.02",""))</f>
        <v/>
      </c>
      <c r="Y131" s="2">
        <f>TEXTJOIN(" | ",TRUE,IF($I131="Oui","Vision: correction (lunettes/lentilles) selon bilan ophtalmo.",""),IF(OR(ISNUMBER(SEARCH("diplop",$J131)),ISNUMBER(SEARCH("occlus",$J131))),"Si diplopie: prisme/occlusion/couvre-œil si indiqué + avis oph.",""),IF(OR(ISNUMBER(SEARCH("main droite",$H131)),ISNUMBER(SEARCH("hémipar",$H131)),ISNUMBER(SEARCH("hemipar",$H131))),"Si déficit MS: privilégier véhicule à boîte automatique + aide au volant/commandes.",""),IF(OR(ISNUMBER(SEARCH("équilibre",$H131)),ISNUMBER(SEARCH("equilibre",$H131)),ISNUMBER(SEARCH("atax",$H131))),"Si instabilité: siège avec soutien latéral / accoudoir.",""),IF(OR(ISNUMBER(SEARCH("hémianops",$J131)),ISNUMBER(SEARCH("hemianops",$J131))),"Si champ visuel limité: dispositifs de vision angle mort (si compatible) + avis spécialisé.",""))</f>
        <v/>
      </c>
    </row>
    <row r="132">
      <c r="T132" s="2">
        <f>IF($E132="&lt; 6 mois","FIN_A",IF($G132="Oui","FIN_A",IF($I132="Oui",IFERROR(IF(OR(ISNUMBER(SEARCH("hémianops",$J132)),ISNUMBER(SEARCH("hemianops",$J132)),ISNUMBER(SEARCH("quadranops",$J132)),ISNUMBER(SEARCH("diplop",$J132)),ISNUMBER(SEARCH("nystag",$J132)),ISNUMBER(SEARCH("saccad",$J132))),"FIN_A","FIN_E"),"FIN_E"),IF($K132="Oui","FIN_C",IF($M132="Oui","FIN_A",IF($N132="Oui","FIN_A",IF($O132="Oui","FIN_A",IF($P132="Oui","FIN_A",IF($Q132="Oui","FIN_D",IF($R132="Non","FIN_E",IF($S132="Oui","FIN_A","FIN_D"))))))))))))</f>
        <v/>
      </c>
      <c r="X132" s="2">
        <f>TEXTJOIN(", ",TRUE,IF($I132="Oui",IF(ISNUMBER(SEARCH("lent",$J132)),"01.02",IF(ISNUMBER(SEARCH("lunett",$J132)),"01.01","01.06")),""),IF(OR(ISNUMBER(SEARCH("diplop",$J132)),ISNUMBER(SEARCH("couvre",$J132)),ISNUMBER(SEARCH("occlus",$J132))),"01.05",""),IF(OR(ISNUMBER(SEARCH("main droite",$H132)),ISNUMBER(SEARCH("faiblesse droite",$H132)),ISNUMBER(SEARCH("hémipar",$H132)),ISNUMBER(SEARCH("hemipar",$H132))),"78",""),IF(OR(ISNUMBER(SEARCH("main",$H132)),ISNUMBER(SEARCH("membre supérieur",$H132)),ISNUMBER(SEARCH("membre superieur",$H132))),"03.01",""),IF(OR(ISNUMBER(SEARCH("équilibre",$H132)),ISNUMBER(SEARCH("equilibre",$H132)),ISNUMBER(SEARCH("atax",$H132))),"43.03",""),IF(OR(ISNUMBER(SEARCH("champ visuel",$J132)),ISNUMBER(SEARCH("hémianops",$J132)),ISNUMBER(SEARCH("hemianops",$J132))),"42.05",""),IF(OR(ISNUMBER(SEARCH("faiblesse",$H132)),ISNUMBER(SEARCH("spastic",$H132))),"40.11",""),IF(OR(ISNUMBER(SEARCH("faiblesse",$H132)),ISNUMBER(SEARCH("spastic",$H132))),"35.02",""))</f>
        <v/>
      </c>
      <c r="Y132" s="2">
        <f>TEXTJOIN(" | ",TRUE,IF($I132="Oui","Vision: correction (lunettes/lentilles) selon bilan ophtalmo.",""),IF(OR(ISNUMBER(SEARCH("diplop",$J132)),ISNUMBER(SEARCH("occlus",$J132))),"Si diplopie: prisme/occlusion/couvre-œil si indiqué + avis oph.",""),IF(OR(ISNUMBER(SEARCH("main droite",$H132)),ISNUMBER(SEARCH("hémipar",$H132)),ISNUMBER(SEARCH("hemipar",$H132))),"Si déficit MS: privilégier véhicule à boîte automatique + aide au volant/commandes.",""),IF(OR(ISNUMBER(SEARCH("équilibre",$H132)),ISNUMBER(SEARCH("equilibre",$H132)),ISNUMBER(SEARCH("atax",$H132))),"Si instabilité: siège avec soutien latéral / accoudoir.",""),IF(OR(ISNUMBER(SEARCH("hémianops",$J132)),ISNUMBER(SEARCH("hemianops",$J132))),"Si champ visuel limité: dispositifs de vision angle mort (si compatible) + avis spécialisé.",""))</f>
        <v/>
      </c>
    </row>
    <row r="133">
      <c r="T133" s="2">
        <f>IF($E133="&lt; 6 mois","FIN_A",IF($G133="Oui","FIN_A",IF($I133="Oui",IFERROR(IF(OR(ISNUMBER(SEARCH("hémianops",$J133)),ISNUMBER(SEARCH("hemianops",$J133)),ISNUMBER(SEARCH("quadranops",$J133)),ISNUMBER(SEARCH("diplop",$J133)),ISNUMBER(SEARCH("nystag",$J133)),ISNUMBER(SEARCH("saccad",$J133))),"FIN_A","FIN_E"),"FIN_E"),IF($K133="Oui","FIN_C",IF($M133="Oui","FIN_A",IF($N133="Oui","FIN_A",IF($O133="Oui","FIN_A",IF($P133="Oui","FIN_A",IF($Q133="Oui","FIN_D",IF($R133="Non","FIN_E",IF($S133="Oui","FIN_A","FIN_D"))))))))))))</f>
        <v/>
      </c>
      <c r="X133" s="2">
        <f>TEXTJOIN(", ",TRUE,IF($I133="Oui",IF(ISNUMBER(SEARCH("lent",$J133)),"01.02",IF(ISNUMBER(SEARCH("lunett",$J133)),"01.01","01.06")),""),IF(OR(ISNUMBER(SEARCH("diplop",$J133)),ISNUMBER(SEARCH("couvre",$J133)),ISNUMBER(SEARCH("occlus",$J133))),"01.05",""),IF(OR(ISNUMBER(SEARCH("main droite",$H133)),ISNUMBER(SEARCH("faiblesse droite",$H133)),ISNUMBER(SEARCH("hémipar",$H133)),ISNUMBER(SEARCH("hemipar",$H133))),"78",""),IF(OR(ISNUMBER(SEARCH("main",$H133)),ISNUMBER(SEARCH("membre supérieur",$H133)),ISNUMBER(SEARCH("membre superieur",$H133))),"03.01",""),IF(OR(ISNUMBER(SEARCH("équilibre",$H133)),ISNUMBER(SEARCH("equilibre",$H133)),ISNUMBER(SEARCH("atax",$H133))),"43.03",""),IF(OR(ISNUMBER(SEARCH("champ visuel",$J133)),ISNUMBER(SEARCH("hémianops",$J133)),ISNUMBER(SEARCH("hemianops",$J133))),"42.05",""),IF(OR(ISNUMBER(SEARCH("faiblesse",$H133)),ISNUMBER(SEARCH("spastic",$H133))),"40.11",""),IF(OR(ISNUMBER(SEARCH("faiblesse",$H133)),ISNUMBER(SEARCH("spastic",$H133))),"35.02",""))</f>
        <v/>
      </c>
      <c r="Y133" s="2">
        <f>TEXTJOIN(" | ",TRUE,IF($I133="Oui","Vision: correction (lunettes/lentilles) selon bilan ophtalmo.",""),IF(OR(ISNUMBER(SEARCH("diplop",$J133)),ISNUMBER(SEARCH("occlus",$J133))),"Si diplopie: prisme/occlusion/couvre-œil si indiqué + avis oph.",""),IF(OR(ISNUMBER(SEARCH("main droite",$H133)),ISNUMBER(SEARCH("hémipar",$H133)),ISNUMBER(SEARCH("hemipar",$H133))),"Si déficit MS: privilégier véhicule à boîte automatique + aide au volant/commandes.",""),IF(OR(ISNUMBER(SEARCH("équilibre",$H133)),ISNUMBER(SEARCH("equilibre",$H133)),ISNUMBER(SEARCH("atax",$H133))),"Si instabilité: siège avec soutien latéral / accoudoir.",""),IF(OR(ISNUMBER(SEARCH("hémianops",$J133)),ISNUMBER(SEARCH("hemianops",$J133))),"Si champ visuel limité: dispositifs de vision angle mort (si compatible) + avis spécialisé.",""))</f>
        <v/>
      </c>
    </row>
    <row r="134">
      <c r="T134" s="2">
        <f>IF($E134="&lt; 6 mois","FIN_A",IF($G134="Oui","FIN_A",IF($I134="Oui",IFERROR(IF(OR(ISNUMBER(SEARCH("hémianops",$J134)),ISNUMBER(SEARCH("hemianops",$J134)),ISNUMBER(SEARCH("quadranops",$J134)),ISNUMBER(SEARCH("diplop",$J134)),ISNUMBER(SEARCH("nystag",$J134)),ISNUMBER(SEARCH("saccad",$J134))),"FIN_A","FIN_E"),"FIN_E"),IF($K134="Oui","FIN_C",IF($M134="Oui","FIN_A",IF($N134="Oui","FIN_A",IF($O134="Oui","FIN_A",IF($P134="Oui","FIN_A",IF($Q134="Oui","FIN_D",IF($R134="Non","FIN_E",IF($S134="Oui","FIN_A","FIN_D"))))))))))))</f>
        <v/>
      </c>
      <c r="X134" s="2">
        <f>TEXTJOIN(", ",TRUE,IF($I134="Oui",IF(ISNUMBER(SEARCH("lent",$J134)),"01.02",IF(ISNUMBER(SEARCH("lunett",$J134)),"01.01","01.06")),""),IF(OR(ISNUMBER(SEARCH("diplop",$J134)),ISNUMBER(SEARCH("couvre",$J134)),ISNUMBER(SEARCH("occlus",$J134))),"01.05",""),IF(OR(ISNUMBER(SEARCH("main droite",$H134)),ISNUMBER(SEARCH("faiblesse droite",$H134)),ISNUMBER(SEARCH("hémipar",$H134)),ISNUMBER(SEARCH("hemipar",$H134))),"78",""),IF(OR(ISNUMBER(SEARCH("main",$H134)),ISNUMBER(SEARCH("membre supérieur",$H134)),ISNUMBER(SEARCH("membre superieur",$H134))),"03.01",""),IF(OR(ISNUMBER(SEARCH("équilibre",$H134)),ISNUMBER(SEARCH("equilibre",$H134)),ISNUMBER(SEARCH("atax",$H134))),"43.03",""),IF(OR(ISNUMBER(SEARCH("champ visuel",$J134)),ISNUMBER(SEARCH("hémianops",$J134)),ISNUMBER(SEARCH("hemianops",$J134))),"42.05",""),IF(OR(ISNUMBER(SEARCH("faiblesse",$H134)),ISNUMBER(SEARCH("spastic",$H134))),"40.11",""),IF(OR(ISNUMBER(SEARCH("faiblesse",$H134)),ISNUMBER(SEARCH("spastic",$H134))),"35.02",""))</f>
        <v/>
      </c>
      <c r="Y134" s="2">
        <f>TEXTJOIN(" | ",TRUE,IF($I134="Oui","Vision: correction (lunettes/lentilles) selon bilan ophtalmo.",""),IF(OR(ISNUMBER(SEARCH("diplop",$J134)),ISNUMBER(SEARCH("occlus",$J134))),"Si diplopie: prisme/occlusion/couvre-œil si indiqué + avis oph.",""),IF(OR(ISNUMBER(SEARCH("main droite",$H134)),ISNUMBER(SEARCH("hémipar",$H134)),ISNUMBER(SEARCH("hemipar",$H134))),"Si déficit MS: privilégier véhicule à boîte automatique + aide au volant/commandes.",""),IF(OR(ISNUMBER(SEARCH("équilibre",$H134)),ISNUMBER(SEARCH("equilibre",$H134)),ISNUMBER(SEARCH("atax",$H134))),"Si instabilité: siège avec soutien latéral / accoudoir.",""),IF(OR(ISNUMBER(SEARCH("hémianops",$J134)),ISNUMBER(SEARCH("hemianops",$J134))),"Si champ visuel limité: dispositifs de vision angle mort (si compatible) + avis spécialisé.",""))</f>
        <v/>
      </c>
    </row>
    <row r="135">
      <c r="T135" s="2">
        <f>IF($E135="&lt; 6 mois","FIN_A",IF($G135="Oui","FIN_A",IF($I135="Oui",IFERROR(IF(OR(ISNUMBER(SEARCH("hémianops",$J135)),ISNUMBER(SEARCH("hemianops",$J135)),ISNUMBER(SEARCH("quadranops",$J135)),ISNUMBER(SEARCH("diplop",$J135)),ISNUMBER(SEARCH("nystag",$J135)),ISNUMBER(SEARCH("saccad",$J135))),"FIN_A","FIN_E"),"FIN_E"),IF($K135="Oui","FIN_C",IF($M135="Oui","FIN_A",IF($N135="Oui","FIN_A",IF($O135="Oui","FIN_A",IF($P135="Oui","FIN_A",IF($Q135="Oui","FIN_D",IF($R135="Non","FIN_E",IF($S135="Oui","FIN_A","FIN_D"))))))))))))</f>
        <v/>
      </c>
      <c r="X135" s="2">
        <f>TEXTJOIN(", ",TRUE,IF($I135="Oui",IF(ISNUMBER(SEARCH("lent",$J135)),"01.02",IF(ISNUMBER(SEARCH("lunett",$J135)),"01.01","01.06")),""),IF(OR(ISNUMBER(SEARCH("diplop",$J135)),ISNUMBER(SEARCH("couvre",$J135)),ISNUMBER(SEARCH("occlus",$J135))),"01.05",""),IF(OR(ISNUMBER(SEARCH("main droite",$H135)),ISNUMBER(SEARCH("faiblesse droite",$H135)),ISNUMBER(SEARCH("hémipar",$H135)),ISNUMBER(SEARCH("hemipar",$H135))),"78",""),IF(OR(ISNUMBER(SEARCH("main",$H135)),ISNUMBER(SEARCH("membre supérieur",$H135)),ISNUMBER(SEARCH("membre superieur",$H135))),"03.01",""),IF(OR(ISNUMBER(SEARCH("équilibre",$H135)),ISNUMBER(SEARCH("equilibre",$H135)),ISNUMBER(SEARCH("atax",$H135))),"43.03",""),IF(OR(ISNUMBER(SEARCH("champ visuel",$J135)),ISNUMBER(SEARCH("hémianops",$J135)),ISNUMBER(SEARCH("hemianops",$J135))),"42.05",""),IF(OR(ISNUMBER(SEARCH("faiblesse",$H135)),ISNUMBER(SEARCH("spastic",$H135))),"40.11",""),IF(OR(ISNUMBER(SEARCH("faiblesse",$H135)),ISNUMBER(SEARCH("spastic",$H135))),"35.02",""))</f>
        <v/>
      </c>
      <c r="Y135" s="2">
        <f>TEXTJOIN(" | ",TRUE,IF($I135="Oui","Vision: correction (lunettes/lentilles) selon bilan ophtalmo.",""),IF(OR(ISNUMBER(SEARCH("diplop",$J135)),ISNUMBER(SEARCH("occlus",$J135))),"Si diplopie: prisme/occlusion/couvre-œil si indiqué + avis oph.",""),IF(OR(ISNUMBER(SEARCH("main droite",$H135)),ISNUMBER(SEARCH("hémipar",$H135)),ISNUMBER(SEARCH("hemipar",$H135))),"Si déficit MS: privilégier véhicule à boîte automatique + aide au volant/commandes.",""),IF(OR(ISNUMBER(SEARCH("équilibre",$H135)),ISNUMBER(SEARCH("equilibre",$H135)),ISNUMBER(SEARCH("atax",$H135))),"Si instabilité: siège avec soutien latéral / accoudoir.",""),IF(OR(ISNUMBER(SEARCH("hémianops",$J135)),ISNUMBER(SEARCH("hemianops",$J135))),"Si champ visuel limité: dispositifs de vision angle mort (si compatible) + avis spécialisé.",""))</f>
        <v/>
      </c>
    </row>
    <row r="136">
      <c r="T136" s="2">
        <f>IF($E136="&lt; 6 mois","FIN_A",IF($G136="Oui","FIN_A",IF($I136="Oui",IFERROR(IF(OR(ISNUMBER(SEARCH("hémianops",$J136)),ISNUMBER(SEARCH("hemianops",$J136)),ISNUMBER(SEARCH("quadranops",$J136)),ISNUMBER(SEARCH("diplop",$J136)),ISNUMBER(SEARCH("nystag",$J136)),ISNUMBER(SEARCH("saccad",$J136))),"FIN_A","FIN_E"),"FIN_E"),IF($K136="Oui","FIN_C",IF($M136="Oui","FIN_A",IF($N136="Oui","FIN_A",IF($O136="Oui","FIN_A",IF($P136="Oui","FIN_A",IF($Q136="Oui","FIN_D",IF($R136="Non","FIN_E",IF($S136="Oui","FIN_A","FIN_D"))))))))))))</f>
        <v/>
      </c>
      <c r="X136" s="2">
        <f>TEXTJOIN(", ",TRUE,IF($I136="Oui",IF(ISNUMBER(SEARCH("lent",$J136)),"01.02",IF(ISNUMBER(SEARCH("lunett",$J136)),"01.01","01.06")),""),IF(OR(ISNUMBER(SEARCH("diplop",$J136)),ISNUMBER(SEARCH("couvre",$J136)),ISNUMBER(SEARCH("occlus",$J136))),"01.05",""),IF(OR(ISNUMBER(SEARCH("main droite",$H136)),ISNUMBER(SEARCH("faiblesse droite",$H136)),ISNUMBER(SEARCH("hémipar",$H136)),ISNUMBER(SEARCH("hemipar",$H136))),"78",""),IF(OR(ISNUMBER(SEARCH("main",$H136)),ISNUMBER(SEARCH("membre supérieur",$H136)),ISNUMBER(SEARCH("membre superieur",$H136))),"03.01",""),IF(OR(ISNUMBER(SEARCH("équilibre",$H136)),ISNUMBER(SEARCH("equilibre",$H136)),ISNUMBER(SEARCH("atax",$H136))),"43.03",""),IF(OR(ISNUMBER(SEARCH("champ visuel",$J136)),ISNUMBER(SEARCH("hémianops",$J136)),ISNUMBER(SEARCH("hemianops",$J136))),"42.05",""),IF(OR(ISNUMBER(SEARCH("faiblesse",$H136)),ISNUMBER(SEARCH("spastic",$H136))),"40.11",""),IF(OR(ISNUMBER(SEARCH("faiblesse",$H136)),ISNUMBER(SEARCH("spastic",$H136))),"35.02",""))</f>
        <v/>
      </c>
      <c r="Y136" s="2">
        <f>TEXTJOIN(" | ",TRUE,IF($I136="Oui","Vision: correction (lunettes/lentilles) selon bilan ophtalmo.",""),IF(OR(ISNUMBER(SEARCH("diplop",$J136)),ISNUMBER(SEARCH("occlus",$J136))),"Si diplopie: prisme/occlusion/couvre-œil si indiqué + avis oph.",""),IF(OR(ISNUMBER(SEARCH("main droite",$H136)),ISNUMBER(SEARCH("hémipar",$H136)),ISNUMBER(SEARCH("hemipar",$H136))),"Si déficit MS: privilégier véhicule à boîte automatique + aide au volant/commandes.",""),IF(OR(ISNUMBER(SEARCH("équilibre",$H136)),ISNUMBER(SEARCH("equilibre",$H136)),ISNUMBER(SEARCH("atax",$H136))),"Si instabilité: siège avec soutien latéral / accoudoir.",""),IF(OR(ISNUMBER(SEARCH("hémianops",$J136)),ISNUMBER(SEARCH("hemianops",$J136))),"Si champ visuel limité: dispositifs de vision angle mort (si compatible) + avis spécialisé.",""))</f>
        <v/>
      </c>
    </row>
    <row r="137">
      <c r="T137" s="2">
        <f>IF($E137="&lt; 6 mois","FIN_A",IF($G137="Oui","FIN_A",IF($I137="Oui",IFERROR(IF(OR(ISNUMBER(SEARCH("hémianops",$J137)),ISNUMBER(SEARCH("hemianops",$J137)),ISNUMBER(SEARCH("quadranops",$J137)),ISNUMBER(SEARCH("diplop",$J137)),ISNUMBER(SEARCH("nystag",$J137)),ISNUMBER(SEARCH("saccad",$J137))),"FIN_A","FIN_E"),"FIN_E"),IF($K137="Oui","FIN_C",IF($M137="Oui","FIN_A",IF($N137="Oui","FIN_A",IF($O137="Oui","FIN_A",IF($P137="Oui","FIN_A",IF($Q137="Oui","FIN_D",IF($R137="Non","FIN_E",IF($S137="Oui","FIN_A","FIN_D"))))))))))))</f>
        <v/>
      </c>
      <c r="X137" s="2">
        <f>TEXTJOIN(", ",TRUE,IF($I137="Oui",IF(ISNUMBER(SEARCH("lent",$J137)),"01.02",IF(ISNUMBER(SEARCH("lunett",$J137)),"01.01","01.06")),""),IF(OR(ISNUMBER(SEARCH("diplop",$J137)),ISNUMBER(SEARCH("couvre",$J137)),ISNUMBER(SEARCH("occlus",$J137))),"01.05",""),IF(OR(ISNUMBER(SEARCH("main droite",$H137)),ISNUMBER(SEARCH("faiblesse droite",$H137)),ISNUMBER(SEARCH("hémipar",$H137)),ISNUMBER(SEARCH("hemipar",$H137))),"78",""),IF(OR(ISNUMBER(SEARCH("main",$H137)),ISNUMBER(SEARCH("membre supérieur",$H137)),ISNUMBER(SEARCH("membre superieur",$H137))),"03.01",""),IF(OR(ISNUMBER(SEARCH("équilibre",$H137)),ISNUMBER(SEARCH("equilibre",$H137)),ISNUMBER(SEARCH("atax",$H137))),"43.03",""),IF(OR(ISNUMBER(SEARCH("champ visuel",$J137)),ISNUMBER(SEARCH("hémianops",$J137)),ISNUMBER(SEARCH("hemianops",$J137))),"42.05",""),IF(OR(ISNUMBER(SEARCH("faiblesse",$H137)),ISNUMBER(SEARCH("spastic",$H137))),"40.11",""),IF(OR(ISNUMBER(SEARCH("faiblesse",$H137)),ISNUMBER(SEARCH("spastic",$H137))),"35.02",""))</f>
        <v/>
      </c>
      <c r="Y137" s="2">
        <f>TEXTJOIN(" | ",TRUE,IF($I137="Oui","Vision: correction (lunettes/lentilles) selon bilan ophtalmo.",""),IF(OR(ISNUMBER(SEARCH("diplop",$J137)),ISNUMBER(SEARCH("occlus",$J137))),"Si diplopie: prisme/occlusion/couvre-œil si indiqué + avis oph.",""),IF(OR(ISNUMBER(SEARCH("main droite",$H137)),ISNUMBER(SEARCH("hémipar",$H137)),ISNUMBER(SEARCH("hemipar",$H137))),"Si déficit MS: privilégier véhicule à boîte automatique + aide au volant/commandes.",""),IF(OR(ISNUMBER(SEARCH("équilibre",$H137)),ISNUMBER(SEARCH("equilibre",$H137)),ISNUMBER(SEARCH("atax",$H137))),"Si instabilité: siège avec soutien latéral / accoudoir.",""),IF(OR(ISNUMBER(SEARCH("hémianops",$J137)),ISNUMBER(SEARCH("hemianops",$J137))),"Si champ visuel limité: dispositifs de vision angle mort (si compatible) + avis spécialisé.",""))</f>
        <v/>
      </c>
    </row>
    <row r="138">
      <c r="T138" s="2">
        <f>IF($E138="&lt; 6 mois","FIN_A",IF($G138="Oui","FIN_A",IF($I138="Oui",IFERROR(IF(OR(ISNUMBER(SEARCH("hémianops",$J138)),ISNUMBER(SEARCH("hemianops",$J138)),ISNUMBER(SEARCH("quadranops",$J138)),ISNUMBER(SEARCH("diplop",$J138)),ISNUMBER(SEARCH("nystag",$J138)),ISNUMBER(SEARCH("saccad",$J138))),"FIN_A","FIN_E"),"FIN_E"),IF($K138="Oui","FIN_C",IF($M138="Oui","FIN_A",IF($N138="Oui","FIN_A",IF($O138="Oui","FIN_A",IF($P138="Oui","FIN_A",IF($Q138="Oui","FIN_D",IF($R138="Non","FIN_E",IF($S138="Oui","FIN_A","FIN_D"))))))))))))</f>
        <v/>
      </c>
      <c r="X138" s="2">
        <f>TEXTJOIN(", ",TRUE,IF($I138="Oui",IF(ISNUMBER(SEARCH("lent",$J138)),"01.02",IF(ISNUMBER(SEARCH("lunett",$J138)),"01.01","01.06")),""),IF(OR(ISNUMBER(SEARCH("diplop",$J138)),ISNUMBER(SEARCH("couvre",$J138)),ISNUMBER(SEARCH("occlus",$J138))),"01.05",""),IF(OR(ISNUMBER(SEARCH("main droite",$H138)),ISNUMBER(SEARCH("faiblesse droite",$H138)),ISNUMBER(SEARCH("hémipar",$H138)),ISNUMBER(SEARCH("hemipar",$H138))),"78",""),IF(OR(ISNUMBER(SEARCH("main",$H138)),ISNUMBER(SEARCH("membre supérieur",$H138)),ISNUMBER(SEARCH("membre superieur",$H138))),"03.01",""),IF(OR(ISNUMBER(SEARCH("équilibre",$H138)),ISNUMBER(SEARCH("equilibre",$H138)),ISNUMBER(SEARCH("atax",$H138))),"43.03",""),IF(OR(ISNUMBER(SEARCH("champ visuel",$J138)),ISNUMBER(SEARCH("hémianops",$J138)),ISNUMBER(SEARCH("hemianops",$J138))),"42.05",""),IF(OR(ISNUMBER(SEARCH("faiblesse",$H138)),ISNUMBER(SEARCH("spastic",$H138))),"40.11",""),IF(OR(ISNUMBER(SEARCH("faiblesse",$H138)),ISNUMBER(SEARCH("spastic",$H138))),"35.02",""))</f>
        <v/>
      </c>
      <c r="Y138" s="2">
        <f>TEXTJOIN(" | ",TRUE,IF($I138="Oui","Vision: correction (lunettes/lentilles) selon bilan ophtalmo.",""),IF(OR(ISNUMBER(SEARCH("diplop",$J138)),ISNUMBER(SEARCH("occlus",$J138))),"Si diplopie: prisme/occlusion/couvre-œil si indiqué + avis oph.",""),IF(OR(ISNUMBER(SEARCH("main droite",$H138)),ISNUMBER(SEARCH("hémipar",$H138)),ISNUMBER(SEARCH("hemipar",$H138))),"Si déficit MS: privilégier véhicule à boîte automatique + aide au volant/commandes.",""),IF(OR(ISNUMBER(SEARCH("équilibre",$H138)),ISNUMBER(SEARCH("equilibre",$H138)),ISNUMBER(SEARCH("atax",$H138))),"Si instabilité: siège avec soutien latéral / accoudoir.",""),IF(OR(ISNUMBER(SEARCH("hémianops",$J138)),ISNUMBER(SEARCH("hemianops",$J138))),"Si champ visuel limité: dispositifs de vision angle mort (si compatible) + avis spécialisé.",""))</f>
        <v/>
      </c>
    </row>
    <row r="139">
      <c r="T139" s="2">
        <f>IF($E139="&lt; 6 mois","FIN_A",IF($G139="Oui","FIN_A",IF($I139="Oui",IFERROR(IF(OR(ISNUMBER(SEARCH("hémianops",$J139)),ISNUMBER(SEARCH("hemianops",$J139)),ISNUMBER(SEARCH("quadranops",$J139)),ISNUMBER(SEARCH("diplop",$J139)),ISNUMBER(SEARCH("nystag",$J139)),ISNUMBER(SEARCH("saccad",$J139))),"FIN_A","FIN_E"),"FIN_E"),IF($K139="Oui","FIN_C",IF($M139="Oui","FIN_A",IF($N139="Oui","FIN_A",IF($O139="Oui","FIN_A",IF($P139="Oui","FIN_A",IF($Q139="Oui","FIN_D",IF($R139="Non","FIN_E",IF($S139="Oui","FIN_A","FIN_D"))))))))))))</f>
        <v/>
      </c>
      <c r="X139" s="2">
        <f>TEXTJOIN(", ",TRUE,IF($I139="Oui",IF(ISNUMBER(SEARCH("lent",$J139)),"01.02",IF(ISNUMBER(SEARCH("lunett",$J139)),"01.01","01.06")),""),IF(OR(ISNUMBER(SEARCH("diplop",$J139)),ISNUMBER(SEARCH("couvre",$J139)),ISNUMBER(SEARCH("occlus",$J139))),"01.05",""),IF(OR(ISNUMBER(SEARCH("main droite",$H139)),ISNUMBER(SEARCH("faiblesse droite",$H139)),ISNUMBER(SEARCH("hémipar",$H139)),ISNUMBER(SEARCH("hemipar",$H139))),"78",""),IF(OR(ISNUMBER(SEARCH("main",$H139)),ISNUMBER(SEARCH("membre supérieur",$H139)),ISNUMBER(SEARCH("membre superieur",$H139))),"03.01",""),IF(OR(ISNUMBER(SEARCH("équilibre",$H139)),ISNUMBER(SEARCH("equilibre",$H139)),ISNUMBER(SEARCH("atax",$H139))),"43.03",""),IF(OR(ISNUMBER(SEARCH("champ visuel",$J139)),ISNUMBER(SEARCH("hémianops",$J139)),ISNUMBER(SEARCH("hemianops",$J139))),"42.05",""),IF(OR(ISNUMBER(SEARCH("faiblesse",$H139)),ISNUMBER(SEARCH("spastic",$H139))),"40.11",""),IF(OR(ISNUMBER(SEARCH("faiblesse",$H139)),ISNUMBER(SEARCH("spastic",$H139))),"35.02",""))</f>
        <v/>
      </c>
      <c r="Y139" s="2">
        <f>TEXTJOIN(" | ",TRUE,IF($I139="Oui","Vision: correction (lunettes/lentilles) selon bilan ophtalmo.",""),IF(OR(ISNUMBER(SEARCH("diplop",$J139)),ISNUMBER(SEARCH("occlus",$J139))),"Si diplopie: prisme/occlusion/couvre-œil si indiqué + avis oph.",""),IF(OR(ISNUMBER(SEARCH("main droite",$H139)),ISNUMBER(SEARCH("hémipar",$H139)),ISNUMBER(SEARCH("hemipar",$H139))),"Si déficit MS: privilégier véhicule à boîte automatique + aide au volant/commandes.",""),IF(OR(ISNUMBER(SEARCH("équilibre",$H139)),ISNUMBER(SEARCH("equilibre",$H139)),ISNUMBER(SEARCH("atax",$H139))),"Si instabilité: siège avec soutien latéral / accoudoir.",""),IF(OR(ISNUMBER(SEARCH("hémianops",$J139)),ISNUMBER(SEARCH("hemianops",$J139))),"Si champ visuel limité: dispositifs de vision angle mort (si compatible) + avis spécialisé.",""))</f>
        <v/>
      </c>
    </row>
    <row r="140">
      <c r="T140" s="2">
        <f>IF($E140="&lt; 6 mois","FIN_A",IF($G140="Oui","FIN_A",IF($I140="Oui",IFERROR(IF(OR(ISNUMBER(SEARCH("hémianops",$J140)),ISNUMBER(SEARCH("hemianops",$J140)),ISNUMBER(SEARCH("quadranops",$J140)),ISNUMBER(SEARCH("diplop",$J140)),ISNUMBER(SEARCH("nystag",$J140)),ISNUMBER(SEARCH("saccad",$J140))),"FIN_A","FIN_E"),"FIN_E"),IF($K140="Oui","FIN_C",IF($M140="Oui","FIN_A",IF($N140="Oui","FIN_A",IF($O140="Oui","FIN_A",IF($P140="Oui","FIN_A",IF($Q140="Oui","FIN_D",IF($R140="Non","FIN_E",IF($S140="Oui","FIN_A","FIN_D"))))))))))))</f>
        <v/>
      </c>
      <c r="X140" s="2">
        <f>TEXTJOIN(", ",TRUE,IF($I140="Oui",IF(ISNUMBER(SEARCH("lent",$J140)),"01.02",IF(ISNUMBER(SEARCH("lunett",$J140)),"01.01","01.06")),""),IF(OR(ISNUMBER(SEARCH("diplop",$J140)),ISNUMBER(SEARCH("couvre",$J140)),ISNUMBER(SEARCH("occlus",$J140))),"01.05",""),IF(OR(ISNUMBER(SEARCH("main droite",$H140)),ISNUMBER(SEARCH("faiblesse droite",$H140)),ISNUMBER(SEARCH("hémipar",$H140)),ISNUMBER(SEARCH("hemipar",$H140))),"78",""),IF(OR(ISNUMBER(SEARCH("main",$H140)),ISNUMBER(SEARCH("membre supérieur",$H140)),ISNUMBER(SEARCH("membre superieur",$H140))),"03.01",""),IF(OR(ISNUMBER(SEARCH("équilibre",$H140)),ISNUMBER(SEARCH("equilibre",$H140)),ISNUMBER(SEARCH("atax",$H140))),"43.03",""),IF(OR(ISNUMBER(SEARCH("champ visuel",$J140)),ISNUMBER(SEARCH("hémianops",$J140)),ISNUMBER(SEARCH("hemianops",$J140))),"42.05",""),IF(OR(ISNUMBER(SEARCH("faiblesse",$H140)),ISNUMBER(SEARCH("spastic",$H140))),"40.11",""),IF(OR(ISNUMBER(SEARCH("faiblesse",$H140)),ISNUMBER(SEARCH("spastic",$H140))),"35.02",""))</f>
        <v/>
      </c>
      <c r="Y140" s="2">
        <f>TEXTJOIN(" | ",TRUE,IF($I140="Oui","Vision: correction (lunettes/lentilles) selon bilan ophtalmo.",""),IF(OR(ISNUMBER(SEARCH("diplop",$J140)),ISNUMBER(SEARCH("occlus",$J140))),"Si diplopie: prisme/occlusion/couvre-œil si indiqué + avis oph.",""),IF(OR(ISNUMBER(SEARCH("main droite",$H140)),ISNUMBER(SEARCH("hémipar",$H140)),ISNUMBER(SEARCH("hemipar",$H140))),"Si déficit MS: privilégier véhicule à boîte automatique + aide au volant/commandes.",""),IF(OR(ISNUMBER(SEARCH("équilibre",$H140)),ISNUMBER(SEARCH("equilibre",$H140)),ISNUMBER(SEARCH("atax",$H140))),"Si instabilité: siège avec soutien latéral / accoudoir.",""),IF(OR(ISNUMBER(SEARCH("hémianops",$J140)),ISNUMBER(SEARCH("hemianops",$J140))),"Si champ visuel limité: dispositifs de vision angle mort (si compatible) + avis spécialisé.",""))</f>
        <v/>
      </c>
    </row>
    <row r="141">
      <c r="T141" s="2">
        <f>IF($E141="&lt; 6 mois","FIN_A",IF($G141="Oui","FIN_A",IF($I141="Oui",IFERROR(IF(OR(ISNUMBER(SEARCH("hémianops",$J141)),ISNUMBER(SEARCH("hemianops",$J141)),ISNUMBER(SEARCH("quadranops",$J141)),ISNUMBER(SEARCH("diplop",$J141)),ISNUMBER(SEARCH("nystag",$J141)),ISNUMBER(SEARCH("saccad",$J141))),"FIN_A","FIN_E"),"FIN_E"),IF($K141="Oui","FIN_C",IF($M141="Oui","FIN_A",IF($N141="Oui","FIN_A",IF($O141="Oui","FIN_A",IF($P141="Oui","FIN_A",IF($Q141="Oui","FIN_D",IF($R141="Non","FIN_E",IF($S141="Oui","FIN_A","FIN_D"))))))))))))</f>
        <v/>
      </c>
      <c r="X141" s="2">
        <f>TEXTJOIN(", ",TRUE,IF($I141="Oui",IF(ISNUMBER(SEARCH("lent",$J141)),"01.02",IF(ISNUMBER(SEARCH("lunett",$J141)),"01.01","01.06")),""),IF(OR(ISNUMBER(SEARCH("diplop",$J141)),ISNUMBER(SEARCH("couvre",$J141)),ISNUMBER(SEARCH("occlus",$J141))),"01.05",""),IF(OR(ISNUMBER(SEARCH("main droite",$H141)),ISNUMBER(SEARCH("faiblesse droite",$H141)),ISNUMBER(SEARCH("hémipar",$H141)),ISNUMBER(SEARCH("hemipar",$H141))),"78",""),IF(OR(ISNUMBER(SEARCH("main",$H141)),ISNUMBER(SEARCH("membre supérieur",$H141)),ISNUMBER(SEARCH("membre superieur",$H141))),"03.01",""),IF(OR(ISNUMBER(SEARCH("équilibre",$H141)),ISNUMBER(SEARCH("equilibre",$H141)),ISNUMBER(SEARCH("atax",$H141))),"43.03",""),IF(OR(ISNUMBER(SEARCH("champ visuel",$J141)),ISNUMBER(SEARCH("hémianops",$J141)),ISNUMBER(SEARCH("hemianops",$J141))),"42.05",""),IF(OR(ISNUMBER(SEARCH("faiblesse",$H141)),ISNUMBER(SEARCH("spastic",$H141))),"40.11",""),IF(OR(ISNUMBER(SEARCH("faiblesse",$H141)),ISNUMBER(SEARCH("spastic",$H141))),"35.02",""))</f>
        <v/>
      </c>
      <c r="Y141" s="2">
        <f>TEXTJOIN(" | ",TRUE,IF($I141="Oui","Vision: correction (lunettes/lentilles) selon bilan ophtalmo.",""),IF(OR(ISNUMBER(SEARCH("diplop",$J141)),ISNUMBER(SEARCH("occlus",$J141))),"Si diplopie: prisme/occlusion/couvre-œil si indiqué + avis oph.",""),IF(OR(ISNUMBER(SEARCH("main droite",$H141)),ISNUMBER(SEARCH("hémipar",$H141)),ISNUMBER(SEARCH("hemipar",$H141))),"Si déficit MS: privilégier véhicule à boîte automatique + aide au volant/commandes.",""),IF(OR(ISNUMBER(SEARCH("équilibre",$H141)),ISNUMBER(SEARCH("equilibre",$H141)),ISNUMBER(SEARCH("atax",$H141))),"Si instabilité: siège avec soutien latéral / accoudoir.",""),IF(OR(ISNUMBER(SEARCH("hémianops",$J141)),ISNUMBER(SEARCH("hemianops",$J141))),"Si champ visuel limité: dispositifs de vision angle mort (si compatible) + avis spécialisé.",""))</f>
        <v/>
      </c>
    </row>
    <row r="142">
      <c r="T142" s="2">
        <f>IF($E142="&lt; 6 mois","FIN_A",IF($G142="Oui","FIN_A",IF($I142="Oui",IFERROR(IF(OR(ISNUMBER(SEARCH("hémianops",$J142)),ISNUMBER(SEARCH("hemianops",$J142)),ISNUMBER(SEARCH("quadranops",$J142)),ISNUMBER(SEARCH("diplop",$J142)),ISNUMBER(SEARCH("nystag",$J142)),ISNUMBER(SEARCH("saccad",$J142))),"FIN_A","FIN_E"),"FIN_E"),IF($K142="Oui","FIN_C",IF($M142="Oui","FIN_A",IF($N142="Oui","FIN_A",IF($O142="Oui","FIN_A",IF($P142="Oui","FIN_A",IF($Q142="Oui","FIN_D",IF($R142="Non","FIN_E",IF($S142="Oui","FIN_A","FIN_D"))))))))))))</f>
        <v/>
      </c>
      <c r="X142" s="2">
        <f>TEXTJOIN(", ",TRUE,IF($I142="Oui",IF(ISNUMBER(SEARCH("lent",$J142)),"01.02",IF(ISNUMBER(SEARCH("lunett",$J142)),"01.01","01.06")),""),IF(OR(ISNUMBER(SEARCH("diplop",$J142)),ISNUMBER(SEARCH("couvre",$J142)),ISNUMBER(SEARCH("occlus",$J142))),"01.05",""),IF(OR(ISNUMBER(SEARCH("main droite",$H142)),ISNUMBER(SEARCH("faiblesse droite",$H142)),ISNUMBER(SEARCH("hémipar",$H142)),ISNUMBER(SEARCH("hemipar",$H142))),"78",""),IF(OR(ISNUMBER(SEARCH("main",$H142)),ISNUMBER(SEARCH("membre supérieur",$H142)),ISNUMBER(SEARCH("membre superieur",$H142))),"03.01",""),IF(OR(ISNUMBER(SEARCH("équilibre",$H142)),ISNUMBER(SEARCH("equilibre",$H142)),ISNUMBER(SEARCH("atax",$H142))),"43.03",""),IF(OR(ISNUMBER(SEARCH("champ visuel",$J142)),ISNUMBER(SEARCH("hémianops",$J142)),ISNUMBER(SEARCH("hemianops",$J142))),"42.05",""),IF(OR(ISNUMBER(SEARCH("faiblesse",$H142)),ISNUMBER(SEARCH("spastic",$H142))),"40.11",""),IF(OR(ISNUMBER(SEARCH("faiblesse",$H142)),ISNUMBER(SEARCH("spastic",$H142))),"35.02",""))</f>
        <v/>
      </c>
      <c r="Y142" s="2">
        <f>TEXTJOIN(" | ",TRUE,IF($I142="Oui","Vision: correction (lunettes/lentilles) selon bilan ophtalmo.",""),IF(OR(ISNUMBER(SEARCH("diplop",$J142)),ISNUMBER(SEARCH("occlus",$J142))),"Si diplopie: prisme/occlusion/couvre-œil si indiqué + avis oph.",""),IF(OR(ISNUMBER(SEARCH("main droite",$H142)),ISNUMBER(SEARCH("hémipar",$H142)),ISNUMBER(SEARCH("hemipar",$H142))),"Si déficit MS: privilégier véhicule à boîte automatique + aide au volant/commandes.",""),IF(OR(ISNUMBER(SEARCH("équilibre",$H142)),ISNUMBER(SEARCH("equilibre",$H142)),ISNUMBER(SEARCH("atax",$H142))),"Si instabilité: siège avec soutien latéral / accoudoir.",""),IF(OR(ISNUMBER(SEARCH("hémianops",$J142)),ISNUMBER(SEARCH("hemianops",$J142))),"Si champ visuel limité: dispositifs de vision angle mort (si compatible) + avis spécialisé.",""))</f>
        <v/>
      </c>
    </row>
    <row r="143">
      <c r="T143" s="2">
        <f>IF($E143="&lt; 6 mois","FIN_A",IF($G143="Oui","FIN_A",IF($I143="Oui",IFERROR(IF(OR(ISNUMBER(SEARCH("hémianops",$J143)),ISNUMBER(SEARCH("hemianops",$J143)),ISNUMBER(SEARCH("quadranops",$J143)),ISNUMBER(SEARCH("diplop",$J143)),ISNUMBER(SEARCH("nystag",$J143)),ISNUMBER(SEARCH("saccad",$J143))),"FIN_A","FIN_E"),"FIN_E"),IF($K143="Oui","FIN_C",IF($M143="Oui","FIN_A",IF($N143="Oui","FIN_A",IF($O143="Oui","FIN_A",IF($P143="Oui","FIN_A",IF($Q143="Oui","FIN_D",IF($R143="Non","FIN_E",IF($S143="Oui","FIN_A","FIN_D"))))))))))))</f>
        <v/>
      </c>
      <c r="X143" s="2">
        <f>TEXTJOIN(", ",TRUE,IF($I143="Oui",IF(ISNUMBER(SEARCH("lent",$J143)),"01.02",IF(ISNUMBER(SEARCH("lunett",$J143)),"01.01","01.06")),""),IF(OR(ISNUMBER(SEARCH("diplop",$J143)),ISNUMBER(SEARCH("couvre",$J143)),ISNUMBER(SEARCH("occlus",$J143))),"01.05",""),IF(OR(ISNUMBER(SEARCH("main droite",$H143)),ISNUMBER(SEARCH("faiblesse droite",$H143)),ISNUMBER(SEARCH("hémipar",$H143)),ISNUMBER(SEARCH("hemipar",$H143))),"78",""),IF(OR(ISNUMBER(SEARCH("main",$H143)),ISNUMBER(SEARCH("membre supérieur",$H143)),ISNUMBER(SEARCH("membre superieur",$H143))),"03.01",""),IF(OR(ISNUMBER(SEARCH("équilibre",$H143)),ISNUMBER(SEARCH("equilibre",$H143)),ISNUMBER(SEARCH("atax",$H143))),"43.03",""),IF(OR(ISNUMBER(SEARCH("champ visuel",$J143)),ISNUMBER(SEARCH("hémianops",$J143)),ISNUMBER(SEARCH("hemianops",$J143))),"42.05",""),IF(OR(ISNUMBER(SEARCH("faiblesse",$H143)),ISNUMBER(SEARCH("spastic",$H143))),"40.11",""),IF(OR(ISNUMBER(SEARCH("faiblesse",$H143)),ISNUMBER(SEARCH("spastic",$H143))),"35.02",""))</f>
        <v/>
      </c>
      <c r="Y143" s="2">
        <f>TEXTJOIN(" | ",TRUE,IF($I143="Oui","Vision: correction (lunettes/lentilles) selon bilan ophtalmo.",""),IF(OR(ISNUMBER(SEARCH("diplop",$J143)),ISNUMBER(SEARCH("occlus",$J143))),"Si diplopie: prisme/occlusion/couvre-œil si indiqué + avis oph.",""),IF(OR(ISNUMBER(SEARCH("main droite",$H143)),ISNUMBER(SEARCH("hémipar",$H143)),ISNUMBER(SEARCH("hemipar",$H143))),"Si déficit MS: privilégier véhicule à boîte automatique + aide au volant/commandes.",""),IF(OR(ISNUMBER(SEARCH("équilibre",$H143)),ISNUMBER(SEARCH("equilibre",$H143)),ISNUMBER(SEARCH("atax",$H143))),"Si instabilité: siège avec soutien latéral / accoudoir.",""),IF(OR(ISNUMBER(SEARCH("hémianops",$J143)),ISNUMBER(SEARCH("hemianops",$J143))),"Si champ visuel limité: dispositifs de vision angle mort (si compatible) + avis spécialisé.",""))</f>
        <v/>
      </c>
    </row>
    <row r="144">
      <c r="T144" s="2">
        <f>IF($E144="&lt; 6 mois","FIN_A",IF($G144="Oui","FIN_A",IF($I144="Oui",IFERROR(IF(OR(ISNUMBER(SEARCH("hémianops",$J144)),ISNUMBER(SEARCH("hemianops",$J144)),ISNUMBER(SEARCH("quadranops",$J144)),ISNUMBER(SEARCH("diplop",$J144)),ISNUMBER(SEARCH("nystag",$J144)),ISNUMBER(SEARCH("saccad",$J144))),"FIN_A","FIN_E"),"FIN_E"),IF($K144="Oui","FIN_C",IF($M144="Oui","FIN_A",IF($N144="Oui","FIN_A",IF($O144="Oui","FIN_A",IF($P144="Oui","FIN_A",IF($Q144="Oui","FIN_D",IF($R144="Non","FIN_E",IF($S144="Oui","FIN_A","FIN_D"))))))))))))</f>
        <v/>
      </c>
      <c r="X144" s="2">
        <f>TEXTJOIN(", ",TRUE,IF($I144="Oui",IF(ISNUMBER(SEARCH("lent",$J144)),"01.02",IF(ISNUMBER(SEARCH("lunett",$J144)),"01.01","01.06")),""),IF(OR(ISNUMBER(SEARCH("diplop",$J144)),ISNUMBER(SEARCH("couvre",$J144)),ISNUMBER(SEARCH("occlus",$J144))),"01.05",""),IF(OR(ISNUMBER(SEARCH("main droite",$H144)),ISNUMBER(SEARCH("faiblesse droite",$H144)),ISNUMBER(SEARCH("hémipar",$H144)),ISNUMBER(SEARCH("hemipar",$H144))),"78",""),IF(OR(ISNUMBER(SEARCH("main",$H144)),ISNUMBER(SEARCH("membre supérieur",$H144)),ISNUMBER(SEARCH("membre superieur",$H144))),"03.01",""),IF(OR(ISNUMBER(SEARCH("équilibre",$H144)),ISNUMBER(SEARCH("equilibre",$H144)),ISNUMBER(SEARCH("atax",$H144))),"43.03",""),IF(OR(ISNUMBER(SEARCH("champ visuel",$J144)),ISNUMBER(SEARCH("hémianops",$J144)),ISNUMBER(SEARCH("hemianops",$J144))),"42.05",""),IF(OR(ISNUMBER(SEARCH("faiblesse",$H144)),ISNUMBER(SEARCH("spastic",$H144))),"40.11",""),IF(OR(ISNUMBER(SEARCH("faiblesse",$H144)),ISNUMBER(SEARCH("spastic",$H144))),"35.02",""))</f>
        <v/>
      </c>
      <c r="Y144" s="2">
        <f>TEXTJOIN(" | ",TRUE,IF($I144="Oui","Vision: correction (lunettes/lentilles) selon bilan ophtalmo.",""),IF(OR(ISNUMBER(SEARCH("diplop",$J144)),ISNUMBER(SEARCH("occlus",$J144))),"Si diplopie: prisme/occlusion/couvre-œil si indiqué + avis oph.",""),IF(OR(ISNUMBER(SEARCH("main droite",$H144)),ISNUMBER(SEARCH("hémipar",$H144)),ISNUMBER(SEARCH("hemipar",$H144))),"Si déficit MS: privilégier véhicule à boîte automatique + aide au volant/commandes.",""),IF(OR(ISNUMBER(SEARCH("équilibre",$H144)),ISNUMBER(SEARCH("equilibre",$H144)),ISNUMBER(SEARCH("atax",$H144))),"Si instabilité: siège avec soutien latéral / accoudoir.",""),IF(OR(ISNUMBER(SEARCH("hémianops",$J144)),ISNUMBER(SEARCH("hemianops",$J144))),"Si champ visuel limité: dispositifs de vision angle mort (si compatible) + avis spécialisé.",""))</f>
        <v/>
      </c>
    </row>
    <row r="145">
      <c r="T145" s="2">
        <f>IF($E145="&lt; 6 mois","FIN_A",IF($G145="Oui","FIN_A",IF($I145="Oui",IFERROR(IF(OR(ISNUMBER(SEARCH("hémianops",$J145)),ISNUMBER(SEARCH("hemianops",$J145)),ISNUMBER(SEARCH("quadranops",$J145)),ISNUMBER(SEARCH("diplop",$J145)),ISNUMBER(SEARCH("nystag",$J145)),ISNUMBER(SEARCH("saccad",$J145))),"FIN_A","FIN_E"),"FIN_E"),IF($K145="Oui","FIN_C",IF($M145="Oui","FIN_A",IF($N145="Oui","FIN_A",IF($O145="Oui","FIN_A",IF($P145="Oui","FIN_A",IF($Q145="Oui","FIN_D",IF($R145="Non","FIN_E",IF($S145="Oui","FIN_A","FIN_D"))))))))))))</f>
        <v/>
      </c>
      <c r="X145" s="2">
        <f>TEXTJOIN(", ",TRUE,IF($I145="Oui",IF(ISNUMBER(SEARCH("lent",$J145)),"01.02",IF(ISNUMBER(SEARCH("lunett",$J145)),"01.01","01.06")),""),IF(OR(ISNUMBER(SEARCH("diplop",$J145)),ISNUMBER(SEARCH("couvre",$J145)),ISNUMBER(SEARCH("occlus",$J145))),"01.05",""),IF(OR(ISNUMBER(SEARCH("main droite",$H145)),ISNUMBER(SEARCH("faiblesse droite",$H145)),ISNUMBER(SEARCH("hémipar",$H145)),ISNUMBER(SEARCH("hemipar",$H145))),"78",""),IF(OR(ISNUMBER(SEARCH("main",$H145)),ISNUMBER(SEARCH("membre supérieur",$H145)),ISNUMBER(SEARCH("membre superieur",$H145))),"03.01",""),IF(OR(ISNUMBER(SEARCH("équilibre",$H145)),ISNUMBER(SEARCH("equilibre",$H145)),ISNUMBER(SEARCH("atax",$H145))),"43.03",""),IF(OR(ISNUMBER(SEARCH("champ visuel",$J145)),ISNUMBER(SEARCH("hémianops",$J145)),ISNUMBER(SEARCH("hemianops",$J145))),"42.05",""),IF(OR(ISNUMBER(SEARCH("faiblesse",$H145)),ISNUMBER(SEARCH("spastic",$H145))),"40.11",""),IF(OR(ISNUMBER(SEARCH("faiblesse",$H145)),ISNUMBER(SEARCH("spastic",$H145))),"35.02",""))</f>
        <v/>
      </c>
      <c r="Y145" s="2">
        <f>TEXTJOIN(" | ",TRUE,IF($I145="Oui","Vision: correction (lunettes/lentilles) selon bilan ophtalmo.",""),IF(OR(ISNUMBER(SEARCH("diplop",$J145)),ISNUMBER(SEARCH("occlus",$J145))),"Si diplopie: prisme/occlusion/couvre-œil si indiqué + avis oph.",""),IF(OR(ISNUMBER(SEARCH("main droite",$H145)),ISNUMBER(SEARCH("hémipar",$H145)),ISNUMBER(SEARCH("hemipar",$H145))),"Si déficit MS: privilégier véhicule à boîte automatique + aide au volant/commandes.",""),IF(OR(ISNUMBER(SEARCH("équilibre",$H145)),ISNUMBER(SEARCH("equilibre",$H145)),ISNUMBER(SEARCH("atax",$H145))),"Si instabilité: siège avec soutien latéral / accoudoir.",""),IF(OR(ISNUMBER(SEARCH("hémianops",$J145)),ISNUMBER(SEARCH("hemianops",$J145))),"Si champ visuel limité: dispositifs de vision angle mort (si compatible) + avis spécialisé.",""))</f>
        <v/>
      </c>
    </row>
    <row r="146">
      <c r="T146" s="2">
        <f>IF($E146="&lt; 6 mois","FIN_A",IF($G146="Oui","FIN_A",IF($I146="Oui",IFERROR(IF(OR(ISNUMBER(SEARCH("hémianops",$J146)),ISNUMBER(SEARCH("hemianops",$J146)),ISNUMBER(SEARCH("quadranops",$J146)),ISNUMBER(SEARCH("diplop",$J146)),ISNUMBER(SEARCH("nystag",$J146)),ISNUMBER(SEARCH("saccad",$J146))),"FIN_A","FIN_E"),"FIN_E"),IF($K146="Oui","FIN_C",IF($M146="Oui","FIN_A",IF($N146="Oui","FIN_A",IF($O146="Oui","FIN_A",IF($P146="Oui","FIN_A",IF($Q146="Oui","FIN_D",IF($R146="Non","FIN_E",IF($S146="Oui","FIN_A","FIN_D"))))))))))))</f>
        <v/>
      </c>
      <c r="X146" s="2">
        <f>TEXTJOIN(", ",TRUE,IF($I146="Oui",IF(ISNUMBER(SEARCH("lent",$J146)),"01.02",IF(ISNUMBER(SEARCH("lunett",$J146)),"01.01","01.06")),""),IF(OR(ISNUMBER(SEARCH("diplop",$J146)),ISNUMBER(SEARCH("couvre",$J146)),ISNUMBER(SEARCH("occlus",$J146))),"01.05",""),IF(OR(ISNUMBER(SEARCH("main droite",$H146)),ISNUMBER(SEARCH("faiblesse droite",$H146)),ISNUMBER(SEARCH("hémipar",$H146)),ISNUMBER(SEARCH("hemipar",$H146))),"78",""),IF(OR(ISNUMBER(SEARCH("main",$H146)),ISNUMBER(SEARCH("membre supérieur",$H146)),ISNUMBER(SEARCH("membre superieur",$H146))),"03.01",""),IF(OR(ISNUMBER(SEARCH("équilibre",$H146)),ISNUMBER(SEARCH("equilibre",$H146)),ISNUMBER(SEARCH("atax",$H146))),"43.03",""),IF(OR(ISNUMBER(SEARCH("champ visuel",$J146)),ISNUMBER(SEARCH("hémianops",$J146)),ISNUMBER(SEARCH("hemianops",$J146))),"42.05",""),IF(OR(ISNUMBER(SEARCH("faiblesse",$H146)),ISNUMBER(SEARCH("spastic",$H146))),"40.11",""),IF(OR(ISNUMBER(SEARCH("faiblesse",$H146)),ISNUMBER(SEARCH("spastic",$H146))),"35.02",""))</f>
        <v/>
      </c>
      <c r="Y146" s="2">
        <f>TEXTJOIN(" | ",TRUE,IF($I146="Oui","Vision: correction (lunettes/lentilles) selon bilan ophtalmo.",""),IF(OR(ISNUMBER(SEARCH("diplop",$J146)),ISNUMBER(SEARCH("occlus",$J146))),"Si diplopie: prisme/occlusion/couvre-œil si indiqué + avis oph.",""),IF(OR(ISNUMBER(SEARCH("main droite",$H146)),ISNUMBER(SEARCH("hémipar",$H146)),ISNUMBER(SEARCH("hemipar",$H146))),"Si déficit MS: privilégier véhicule à boîte automatique + aide au volant/commandes.",""),IF(OR(ISNUMBER(SEARCH("équilibre",$H146)),ISNUMBER(SEARCH("equilibre",$H146)),ISNUMBER(SEARCH("atax",$H146))),"Si instabilité: siège avec soutien latéral / accoudoir.",""),IF(OR(ISNUMBER(SEARCH("hémianops",$J146)),ISNUMBER(SEARCH("hemianops",$J146))),"Si champ visuel limité: dispositifs de vision angle mort (si compatible) + avis spécialisé.",""))</f>
        <v/>
      </c>
    </row>
    <row r="147">
      <c r="T147" s="2">
        <f>IF($E147="&lt; 6 mois","FIN_A",IF($G147="Oui","FIN_A",IF($I147="Oui",IFERROR(IF(OR(ISNUMBER(SEARCH("hémianops",$J147)),ISNUMBER(SEARCH("hemianops",$J147)),ISNUMBER(SEARCH("quadranops",$J147)),ISNUMBER(SEARCH("diplop",$J147)),ISNUMBER(SEARCH("nystag",$J147)),ISNUMBER(SEARCH("saccad",$J147))),"FIN_A","FIN_E"),"FIN_E"),IF($K147="Oui","FIN_C",IF($M147="Oui","FIN_A",IF($N147="Oui","FIN_A",IF($O147="Oui","FIN_A",IF($P147="Oui","FIN_A",IF($Q147="Oui","FIN_D",IF($R147="Non","FIN_E",IF($S147="Oui","FIN_A","FIN_D"))))))))))))</f>
        <v/>
      </c>
      <c r="X147" s="2">
        <f>TEXTJOIN(", ",TRUE,IF($I147="Oui",IF(ISNUMBER(SEARCH("lent",$J147)),"01.02",IF(ISNUMBER(SEARCH("lunett",$J147)),"01.01","01.06")),""),IF(OR(ISNUMBER(SEARCH("diplop",$J147)),ISNUMBER(SEARCH("couvre",$J147)),ISNUMBER(SEARCH("occlus",$J147))),"01.05",""),IF(OR(ISNUMBER(SEARCH("main droite",$H147)),ISNUMBER(SEARCH("faiblesse droite",$H147)),ISNUMBER(SEARCH("hémipar",$H147)),ISNUMBER(SEARCH("hemipar",$H147))),"78",""),IF(OR(ISNUMBER(SEARCH("main",$H147)),ISNUMBER(SEARCH("membre supérieur",$H147)),ISNUMBER(SEARCH("membre superieur",$H147))),"03.01",""),IF(OR(ISNUMBER(SEARCH("équilibre",$H147)),ISNUMBER(SEARCH("equilibre",$H147)),ISNUMBER(SEARCH("atax",$H147))),"43.03",""),IF(OR(ISNUMBER(SEARCH("champ visuel",$J147)),ISNUMBER(SEARCH("hémianops",$J147)),ISNUMBER(SEARCH("hemianops",$J147))),"42.05",""),IF(OR(ISNUMBER(SEARCH("faiblesse",$H147)),ISNUMBER(SEARCH("spastic",$H147))),"40.11",""),IF(OR(ISNUMBER(SEARCH("faiblesse",$H147)),ISNUMBER(SEARCH("spastic",$H147))),"35.02",""))</f>
        <v/>
      </c>
      <c r="Y147" s="2">
        <f>TEXTJOIN(" | ",TRUE,IF($I147="Oui","Vision: correction (lunettes/lentilles) selon bilan ophtalmo.",""),IF(OR(ISNUMBER(SEARCH("diplop",$J147)),ISNUMBER(SEARCH("occlus",$J147))),"Si diplopie: prisme/occlusion/couvre-œil si indiqué + avis oph.",""),IF(OR(ISNUMBER(SEARCH("main droite",$H147)),ISNUMBER(SEARCH("hémipar",$H147)),ISNUMBER(SEARCH("hemipar",$H147))),"Si déficit MS: privilégier véhicule à boîte automatique + aide au volant/commandes.",""),IF(OR(ISNUMBER(SEARCH("équilibre",$H147)),ISNUMBER(SEARCH("equilibre",$H147)),ISNUMBER(SEARCH("atax",$H147))),"Si instabilité: siège avec soutien latéral / accoudoir.",""),IF(OR(ISNUMBER(SEARCH("hémianops",$J147)),ISNUMBER(SEARCH("hemianops",$J147))),"Si champ visuel limité: dispositifs de vision angle mort (si compatible) + avis spécialisé.",""))</f>
        <v/>
      </c>
    </row>
    <row r="148">
      <c r="T148" s="2">
        <f>IF($E148="&lt; 6 mois","FIN_A",IF($G148="Oui","FIN_A",IF($I148="Oui",IFERROR(IF(OR(ISNUMBER(SEARCH("hémianops",$J148)),ISNUMBER(SEARCH("hemianops",$J148)),ISNUMBER(SEARCH("quadranops",$J148)),ISNUMBER(SEARCH("diplop",$J148)),ISNUMBER(SEARCH("nystag",$J148)),ISNUMBER(SEARCH("saccad",$J148))),"FIN_A","FIN_E"),"FIN_E"),IF($K148="Oui","FIN_C",IF($M148="Oui","FIN_A",IF($N148="Oui","FIN_A",IF($O148="Oui","FIN_A",IF($P148="Oui","FIN_A",IF($Q148="Oui","FIN_D",IF($R148="Non","FIN_E",IF($S148="Oui","FIN_A","FIN_D"))))))))))))</f>
        <v/>
      </c>
      <c r="X148" s="2">
        <f>TEXTJOIN(", ",TRUE,IF($I148="Oui",IF(ISNUMBER(SEARCH("lent",$J148)),"01.02",IF(ISNUMBER(SEARCH("lunett",$J148)),"01.01","01.06")),""),IF(OR(ISNUMBER(SEARCH("diplop",$J148)),ISNUMBER(SEARCH("couvre",$J148)),ISNUMBER(SEARCH("occlus",$J148))),"01.05",""),IF(OR(ISNUMBER(SEARCH("main droite",$H148)),ISNUMBER(SEARCH("faiblesse droite",$H148)),ISNUMBER(SEARCH("hémipar",$H148)),ISNUMBER(SEARCH("hemipar",$H148))),"78",""),IF(OR(ISNUMBER(SEARCH("main",$H148)),ISNUMBER(SEARCH("membre supérieur",$H148)),ISNUMBER(SEARCH("membre superieur",$H148))),"03.01",""),IF(OR(ISNUMBER(SEARCH("équilibre",$H148)),ISNUMBER(SEARCH("equilibre",$H148)),ISNUMBER(SEARCH("atax",$H148))),"43.03",""),IF(OR(ISNUMBER(SEARCH("champ visuel",$J148)),ISNUMBER(SEARCH("hémianops",$J148)),ISNUMBER(SEARCH("hemianops",$J148))),"42.05",""),IF(OR(ISNUMBER(SEARCH("faiblesse",$H148)),ISNUMBER(SEARCH("spastic",$H148))),"40.11",""),IF(OR(ISNUMBER(SEARCH("faiblesse",$H148)),ISNUMBER(SEARCH("spastic",$H148))),"35.02",""))</f>
        <v/>
      </c>
      <c r="Y148" s="2">
        <f>TEXTJOIN(" | ",TRUE,IF($I148="Oui","Vision: correction (lunettes/lentilles) selon bilan ophtalmo.",""),IF(OR(ISNUMBER(SEARCH("diplop",$J148)),ISNUMBER(SEARCH("occlus",$J148))),"Si diplopie: prisme/occlusion/couvre-œil si indiqué + avis oph.",""),IF(OR(ISNUMBER(SEARCH("main droite",$H148)),ISNUMBER(SEARCH("hémipar",$H148)),ISNUMBER(SEARCH("hemipar",$H148))),"Si déficit MS: privilégier véhicule à boîte automatique + aide au volant/commandes.",""),IF(OR(ISNUMBER(SEARCH("équilibre",$H148)),ISNUMBER(SEARCH("equilibre",$H148)),ISNUMBER(SEARCH("atax",$H148))),"Si instabilité: siège avec soutien latéral / accoudoir.",""),IF(OR(ISNUMBER(SEARCH("hémianops",$J148)),ISNUMBER(SEARCH("hemianops",$J148))),"Si champ visuel limité: dispositifs de vision angle mort (si compatible) + avis spécialisé.",""))</f>
        <v/>
      </c>
    </row>
    <row r="149">
      <c r="T149" s="2">
        <f>IF($E149="&lt; 6 mois","FIN_A",IF($G149="Oui","FIN_A",IF($I149="Oui",IFERROR(IF(OR(ISNUMBER(SEARCH("hémianops",$J149)),ISNUMBER(SEARCH("hemianops",$J149)),ISNUMBER(SEARCH("quadranops",$J149)),ISNUMBER(SEARCH("diplop",$J149)),ISNUMBER(SEARCH("nystag",$J149)),ISNUMBER(SEARCH("saccad",$J149))),"FIN_A","FIN_E"),"FIN_E"),IF($K149="Oui","FIN_C",IF($M149="Oui","FIN_A",IF($N149="Oui","FIN_A",IF($O149="Oui","FIN_A",IF($P149="Oui","FIN_A",IF($Q149="Oui","FIN_D",IF($R149="Non","FIN_E",IF($S149="Oui","FIN_A","FIN_D"))))))))))))</f>
        <v/>
      </c>
      <c r="X149" s="2">
        <f>TEXTJOIN(", ",TRUE,IF($I149="Oui",IF(ISNUMBER(SEARCH("lent",$J149)),"01.02",IF(ISNUMBER(SEARCH("lunett",$J149)),"01.01","01.06")),""),IF(OR(ISNUMBER(SEARCH("diplop",$J149)),ISNUMBER(SEARCH("couvre",$J149)),ISNUMBER(SEARCH("occlus",$J149))),"01.05",""),IF(OR(ISNUMBER(SEARCH("main droite",$H149)),ISNUMBER(SEARCH("faiblesse droite",$H149)),ISNUMBER(SEARCH("hémipar",$H149)),ISNUMBER(SEARCH("hemipar",$H149))),"78",""),IF(OR(ISNUMBER(SEARCH("main",$H149)),ISNUMBER(SEARCH("membre supérieur",$H149)),ISNUMBER(SEARCH("membre superieur",$H149))),"03.01",""),IF(OR(ISNUMBER(SEARCH("équilibre",$H149)),ISNUMBER(SEARCH("equilibre",$H149)),ISNUMBER(SEARCH("atax",$H149))),"43.03",""),IF(OR(ISNUMBER(SEARCH("champ visuel",$J149)),ISNUMBER(SEARCH("hémianops",$J149)),ISNUMBER(SEARCH("hemianops",$J149))),"42.05",""),IF(OR(ISNUMBER(SEARCH("faiblesse",$H149)),ISNUMBER(SEARCH("spastic",$H149))),"40.11",""),IF(OR(ISNUMBER(SEARCH("faiblesse",$H149)),ISNUMBER(SEARCH("spastic",$H149))),"35.02",""))</f>
        <v/>
      </c>
      <c r="Y149" s="2">
        <f>TEXTJOIN(" | ",TRUE,IF($I149="Oui","Vision: correction (lunettes/lentilles) selon bilan ophtalmo.",""),IF(OR(ISNUMBER(SEARCH("diplop",$J149)),ISNUMBER(SEARCH("occlus",$J149))),"Si diplopie: prisme/occlusion/couvre-œil si indiqué + avis oph.",""),IF(OR(ISNUMBER(SEARCH("main droite",$H149)),ISNUMBER(SEARCH("hémipar",$H149)),ISNUMBER(SEARCH("hemipar",$H149))),"Si déficit MS: privilégier véhicule à boîte automatique + aide au volant/commandes.",""),IF(OR(ISNUMBER(SEARCH("équilibre",$H149)),ISNUMBER(SEARCH("equilibre",$H149)),ISNUMBER(SEARCH("atax",$H149))),"Si instabilité: siège avec soutien latéral / accoudoir.",""),IF(OR(ISNUMBER(SEARCH("hémianops",$J149)),ISNUMBER(SEARCH("hemianops",$J149))),"Si champ visuel limité: dispositifs de vision angle mort (si compatible) + avis spécialisé.",""))</f>
        <v/>
      </c>
    </row>
    <row r="150">
      <c r="T150" s="2">
        <f>IF($E150="&lt; 6 mois","FIN_A",IF($G150="Oui","FIN_A",IF($I150="Oui",IFERROR(IF(OR(ISNUMBER(SEARCH("hémianops",$J150)),ISNUMBER(SEARCH("hemianops",$J150)),ISNUMBER(SEARCH("quadranops",$J150)),ISNUMBER(SEARCH("diplop",$J150)),ISNUMBER(SEARCH("nystag",$J150)),ISNUMBER(SEARCH("saccad",$J150))),"FIN_A","FIN_E"),"FIN_E"),IF($K150="Oui","FIN_C",IF($M150="Oui","FIN_A",IF($N150="Oui","FIN_A",IF($O150="Oui","FIN_A",IF($P150="Oui","FIN_A",IF($Q150="Oui","FIN_D",IF($R150="Non","FIN_E",IF($S150="Oui","FIN_A","FIN_D"))))))))))))</f>
        <v/>
      </c>
      <c r="X150" s="2">
        <f>TEXTJOIN(", ",TRUE,IF($I150="Oui",IF(ISNUMBER(SEARCH("lent",$J150)),"01.02",IF(ISNUMBER(SEARCH("lunett",$J150)),"01.01","01.06")),""),IF(OR(ISNUMBER(SEARCH("diplop",$J150)),ISNUMBER(SEARCH("couvre",$J150)),ISNUMBER(SEARCH("occlus",$J150))),"01.05",""),IF(OR(ISNUMBER(SEARCH("main droite",$H150)),ISNUMBER(SEARCH("faiblesse droite",$H150)),ISNUMBER(SEARCH("hémipar",$H150)),ISNUMBER(SEARCH("hemipar",$H150))),"78",""),IF(OR(ISNUMBER(SEARCH("main",$H150)),ISNUMBER(SEARCH("membre supérieur",$H150)),ISNUMBER(SEARCH("membre superieur",$H150))),"03.01",""),IF(OR(ISNUMBER(SEARCH("équilibre",$H150)),ISNUMBER(SEARCH("equilibre",$H150)),ISNUMBER(SEARCH("atax",$H150))),"43.03",""),IF(OR(ISNUMBER(SEARCH("champ visuel",$J150)),ISNUMBER(SEARCH("hémianops",$J150)),ISNUMBER(SEARCH("hemianops",$J150))),"42.05",""),IF(OR(ISNUMBER(SEARCH("faiblesse",$H150)),ISNUMBER(SEARCH("spastic",$H150))),"40.11",""),IF(OR(ISNUMBER(SEARCH("faiblesse",$H150)),ISNUMBER(SEARCH("spastic",$H150))),"35.02",""))</f>
        <v/>
      </c>
      <c r="Y150" s="2">
        <f>TEXTJOIN(" | ",TRUE,IF($I150="Oui","Vision: correction (lunettes/lentilles) selon bilan ophtalmo.",""),IF(OR(ISNUMBER(SEARCH("diplop",$J150)),ISNUMBER(SEARCH("occlus",$J150))),"Si diplopie: prisme/occlusion/couvre-œil si indiqué + avis oph.",""),IF(OR(ISNUMBER(SEARCH("main droite",$H150)),ISNUMBER(SEARCH("hémipar",$H150)),ISNUMBER(SEARCH("hemipar",$H150))),"Si déficit MS: privilégier véhicule à boîte automatique + aide au volant/commandes.",""),IF(OR(ISNUMBER(SEARCH("équilibre",$H150)),ISNUMBER(SEARCH("equilibre",$H150)),ISNUMBER(SEARCH("atax",$H150))),"Si instabilité: siège avec soutien latéral / accoudoir.",""),IF(OR(ISNUMBER(SEARCH("hémianops",$J150)),ISNUMBER(SEARCH("hemianops",$J150))),"Si champ visuel limité: dispositifs de vision angle mort (si compatible) + avis spécialisé.",""))</f>
        <v/>
      </c>
    </row>
    <row r="151">
      <c r="T151" s="2">
        <f>IF($E151="&lt; 6 mois","FIN_A",IF($G151="Oui","FIN_A",IF($I151="Oui",IFERROR(IF(OR(ISNUMBER(SEARCH("hémianops",$J151)),ISNUMBER(SEARCH("hemianops",$J151)),ISNUMBER(SEARCH("quadranops",$J151)),ISNUMBER(SEARCH("diplop",$J151)),ISNUMBER(SEARCH("nystag",$J151)),ISNUMBER(SEARCH("saccad",$J151))),"FIN_A","FIN_E"),"FIN_E"),IF($K151="Oui","FIN_C",IF($M151="Oui","FIN_A",IF($N151="Oui","FIN_A",IF($O151="Oui","FIN_A",IF($P151="Oui","FIN_A",IF($Q151="Oui","FIN_D",IF($R151="Non","FIN_E",IF($S151="Oui","FIN_A","FIN_D"))))))))))))</f>
        <v/>
      </c>
      <c r="X151" s="2">
        <f>TEXTJOIN(", ",TRUE,IF($I151="Oui",IF(ISNUMBER(SEARCH("lent",$J151)),"01.02",IF(ISNUMBER(SEARCH("lunett",$J151)),"01.01","01.06")),""),IF(OR(ISNUMBER(SEARCH("diplop",$J151)),ISNUMBER(SEARCH("couvre",$J151)),ISNUMBER(SEARCH("occlus",$J151))),"01.05",""),IF(OR(ISNUMBER(SEARCH("main droite",$H151)),ISNUMBER(SEARCH("faiblesse droite",$H151)),ISNUMBER(SEARCH("hémipar",$H151)),ISNUMBER(SEARCH("hemipar",$H151))),"78",""),IF(OR(ISNUMBER(SEARCH("main",$H151)),ISNUMBER(SEARCH("membre supérieur",$H151)),ISNUMBER(SEARCH("membre superieur",$H151))),"03.01",""),IF(OR(ISNUMBER(SEARCH("équilibre",$H151)),ISNUMBER(SEARCH("equilibre",$H151)),ISNUMBER(SEARCH("atax",$H151))),"43.03",""),IF(OR(ISNUMBER(SEARCH("champ visuel",$J151)),ISNUMBER(SEARCH("hémianops",$J151)),ISNUMBER(SEARCH("hemianops",$J151))),"42.05",""),IF(OR(ISNUMBER(SEARCH("faiblesse",$H151)),ISNUMBER(SEARCH("spastic",$H151))),"40.11",""),IF(OR(ISNUMBER(SEARCH("faiblesse",$H151)),ISNUMBER(SEARCH("spastic",$H151))),"35.02",""))</f>
        <v/>
      </c>
      <c r="Y151" s="2">
        <f>TEXTJOIN(" | ",TRUE,IF($I151="Oui","Vision: correction (lunettes/lentilles) selon bilan ophtalmo.",""),IF(OR(ISNUMBER(SEARCH("diplop",$J151)),ISNUMBER(SEARCH("occlus",$J151))),"Si diplopie: prisme/occlusion/couvre-œil si indiqué + avis oph.",""),IF(OR(ISNUMBER(SEARCH("main droite",$H151)),ISNUMBER(SEARCH("hémipar",$H151)),ISNUMBER(SEARCH("hemipar",$H151))),"Si déficit MS: privilégier véhicule à boîte automatique + aide au volant/commandes.",""),IF(OR(ISNUMBER(SEARCH("équilibre",$H151)),ISNUMBER(SEARCH("equilibre",$H151)),ISNUMBER(SEARCH("atax",$H151))),"Si instabilité: siège avec soutien latéral / accoudoir.",""),IF(OR(ISNUMBER(SEARCH("hémianops",$J151)),ISNUMBER(SEARCH("hemianops",$J151))),"Si champ visuel limité: dispositifs de vision angle mort (si compatible) + avis spécialisé.",""))</f>
        <v/>
      </c>
    </row>
    <row r="152">
      <c r="T152" s="2">
        <f>IF($E152="&lt; 6 mois","FIN_A",IF($G152="Oui","FIN_A",IF($I152="Oui",IFERROR(IF(OR(ISNUMBER(SEARCH("hémianops",$J152)),ISNUMBER(SEARCH("hemianops",$J152)),ISNUMBER(SEARCH("quadranops",$J152)),ISNUMBER(SEARCH("diplop",$J152)),ISNUMBER(SEARCH("nystag",$J152)),ISNUMBER(SEARCH("saccad",$J152))),"FIN_A","FIN_E"),"FIN_E"),IF($K152="Oui","FIN_C",IF($M152="Oui","FIN_A",IF($N152="Oui","FIN_A",IF($O152="Oui","FIN_A",IF($P152="Oui","FIN_A",IF($Q152="Oui","FIN_D",IF($R152="Non","FIN_E",IF($S152="Oui","FIN_A","FIN_D"))))))))))))</f>
        <v/>
      </c>
      <c r="X152" s="2">
        <f>TEXTJOIN(", ",TRUE,IF($I152="Oui",IF(ISNUMBER(SEARCH("lent",$J152)),"01.02",IF(ISNUMBER(SEARCH("lunett",$J152)),"01.01","01.06")),""),IF(OR(ISNUMBER(SEARCH("diplop",$J152)),ISNUMBER(SEARCH("couvre",$J152)),ISNUMBER(SEARCH("occlus",$J152))),"01.05",""),IF(OR(ISNUMBER(SEARCH("main droite",$H152)),ISNUMBER(SEARCH("faiblesse droite",$H152)),ISNUMBER(SEARCH("hémipar",$H152)),ISNUMBER(SEARCH("hemipar",$H152))),"78",""),IF(OR(ISNUMBER(SEARCH("main",$H152)),ISNUMBER(SEARCH("membre supérieur",$H152)),ISNUMBER(SEARCH("membre superieur",$H152))),"03.01",""),IF(OR(ISNUMBER(SEARCH("équilibre",$H152)),ISNUMBER(SEARCH("equilibre",$H152)),ISNUMBER(SEARCH("atax",$H152))),"43.03",""),IF(OR(ISNUMBER(SEARCH("champ visuel",$J152)),ISNUMBER(SEARCH("hémianops",$J152)),ISNUMBER(SEARCH("hemianops",$J152))),"42.05",""),IF(OR(ISNUMBER(SEARCH("faiblesse",$H152)),ISNUMBER(SEARCH("spastic",$H152))),"40.11",""),IF(OR(ISNUMBER(SEARCH("faiblesse",$H152)),ISNUMBER(SEARCH("spastic",$H152))),"35.02",""))</f>
        <v/>
      </c>
      <c r="Y152" s="2">
        <f>TEXTJOIN(" | ",TRUE,IF($I152="Oui","Vision: correction (lunettes/lentilles) selon bilan ophtalmo.",""),IF(OR(ISNUMBER(SEARCH("diplop",$J152)),ISNUMBER(SEARCH("occlus",$J152))),"Si diplopie: prisme/occlusion/couvre-œil si indiqué + avis oph.",""),IF(OR(ISNUMBER(SEARCH("main droite",$H152)),ISNUMBER(SEARCH("hémipar",$H152)),ISNUMBER(SEARCH("hemipar",$H152))),"Si déficit MS: privilégier véhicule à boîte automatique + aide au volant/commandes.",""),IF(OR(ISNUMBER(SEARCH("équilibre",$H152)),ISNUMBER(SEARCH("equilibre",$H152)),ISNUMBER(SEARCH("atax",$H152))),"Si instabilité: siège avec soutien latéral / accoudoir.",""),IF(OR(ISNUMBER(SEARCH("hémianops",$J152)),ISNUMBER(SEARCH("hemianops",$J152))),"Si champ visuel limité: dispositifs de vision angle mort (si compatible) + avis spécialisé.",""))</f>
        <v/>
      </c>
    </row>
    <row r="153">
      <c r="T153" s="2">
        <f>IF($E153="&lt; 6 mois","FIN_A",IF($G153="Oui","FIN_A",IF($I153="Oui",IFERROR(IF(OR(ISNUMBER(SEARCH("hémianops",$J153)),ISNUMBER(SEARCH("hemianops",$J153)),ISNUMBER(SEARCH("quadranops",$J153)),ISNUMBER(SEARCH("diplop",$J153)),ISNUMBER(SEARCH("nystag",$J153)),ISNUMBER(SEARCH("saccad",$J153))),"FIN_A","FIN_E"),"FIN_E"),IF($K153="Oui","FIN_C",IF($M153="Oui","FIN_A",IF($N153="Oui","FIN_A",IF($O153="Oui","FIN_A",IF($P153="Oui","FIN_A",IF($Q153="Oui","FIN_D",IF($R153="Non","FIN_E",IF($S153="Oui","FIN_A","FIN_D"))))))))))))</f>
        <v/>
      </c>
      <c r="X153" s="2">
        <f>TEXTJOIN(", ",TRUE,IF($I153="Oui",IF(ISNUMBER(SEARCH("lent",$J153)),"01.02",IF(ISNUMBER(SEARCH("lunett",$J153)),"01.01","01.06")),""),IF(OR(ISNUMBER(SEARCH("diplop",$J153)),ISNUMBER(SEARCH("couvre",$J153)),ISNUMBER(SEARCH("occlus",$J153))),"01.05",""),IF(OR(ISNUMBER(SEARCH("main droite",$H153)),ISNUMBER(SEARCH("faiblesse droite",$H153)),ISNUMBER(SEARCH("hémipar",$H153)),ISNUMBER(SEARCH("hemipar",$H153))),"78",""),IF(OR(ISNUMBER(SEARCH("main",$H153)),ISNUMBER(SEARCH("membre supérieur",$H153)),ISNUMBER(SEARCH("membre superieur",$H153))),"03.01",""),IF(OR(ISNUMBER(SEARCH("équilibre",$H153)),ISNUMBER(SEARCH("equilibre",$H153)),ISNUMBER(SEARCH("atax",$H153))),"43.03",""),IF(OR(ISNUMBER(SEARCH("champ visuel",$J153)),ISNUMBER(SEARCH("hémianops",$J153)),ISNUMBER(SEARCH("hemianops",$J153))),"42.05",""),IF(OR(ISNUMBER(SEARCH("faiblesse",$H153)),ISNUMBER(SEARCH("spastic",$H153))),"40.11",""),IF(OR(ISNUMBER(SEARCH("faiblesse",$H153)),ISNUMBER(SEARCH("spastic",$H153))),"35.02",""))</f>
        <v/>
      </c>
      <c r="Y153" s="2">
        <f>TEXTJOIN(" | ",TRUE,IF($I153="Oui","Vision: correction (lunettes/lentilles) selon bilan ophtalmo.",""),IF(OR(ISNUMBER(SEARCH("diplop",$J153)),ISNUMBER(SEARCH("occlus",$J153))),"Si diplopie: prisme/occlusion/couvre-œil si indiqué + avis oph.",""),IF(OR(ISNUMBER(SEARCH("main droite",$H153)),ISNUMBER(SEARCH("hémipar",$H153)),ISNUMBER(SEARCH("hemipar",$H153))),"Si déficit MS: privilégier véhicule à boîte automatique + aide au volant/commandes.",""),IF(OR(ISNUMBER(SEARCH("équilibre",$H153)),ISNUMBER(SEARCH("equilibre",$H153)),ISNUMBER(SEARCH("atax",$H153))),"Si instabilité: siège avec soutien latéral / accoudoir.",""),IF(OR(ISNUMBER(SEARCH("hémianops",$J153)),ISNUMBER(SEARCH("hemianops",$J153))),"Si champ visuel limité: dispositifs de vision angle mort (si compatible) + avis spécialisé.",""))</f>
        <v/>
      </c>
    </row>
    <row r="154">
      <c r="T154" s="2">
        <f>IF($E154="&lt; 6 mois","FIN_A",IF($G154="Oui","FIN_A",IF($I154="Oui",IFERROR(IF(OR(ISNUMBER(SEARCH("hémianops",$J154)),ISNUMBER(SEARCH("hemianops",$J154)),ISNUMBER(SEARCH("quadranops",$J154)),ISNUMBER(SEARCH("diplop",$J154)),ISNUMBER(SEARCH("nystag",$J154)),ISNUMBER(SEARCH("saccad",$J154))),"FIN_A","FIN_E"),"FIN_E"),IF($K154="Oui","FIN_C",IF($M154="Oui","FIN_A",IF($N154="Oui","FIN_A",IF($O154="Oui","FIN_A",IF($P154="Oui","FIN_A",IF($Q154="Oui","FIN_D",IF($R154="Non","FIN_E",IF($S154="Oui","FIN_A","FIN_D"))))))))))))</f>
        <v/>
      </c>
      <c r="X154" s="2">
        <f>TEXTJOIN(", ",TRUE,IF($I154="Oui",IF(ISNUMBER(SEARCH("lent",$J154)),"01.02",IF(ISNUMBER(SEARCH("lunett",$J154)),"01.01","01.06")),""),IF(OR(ISNUMBER(SEARCH("diplop",$J154)),ISNUMBER(SEARCH("couvre",$J154)),ISNUMBER(SEARCH("occlus",$J154))),"01.05",""),IF(OR(ISNUMBER(SEARCH("main droite",$H154)),ISNUMBER(SEARCH("faiblesse droite",$H154)),ISNUMBER(SEARCH("hémipar",$H154)),ISNUMBER(SEARCH("hemipar",$H154))),"78",""),IF(OR(ISNUMBER(SEARCH("main",$H154)),ISNUMBER(SEARCH("membre supérieur",$H154)),ISNUMBER(SEARCH("membre superieur",$H154))),"03.01",""),IF(OR(ISNUMBER(SEARCH("équilibre",$H154)),ISNUMBER(SEARCH("equilibre",$H154)),ISNUMBER(SEARCH("atax",$H154))),"43.03",""),IF(OR(ISNUMBER(SEARCH("champ visuel",$J154)),ISNUMBER(SEARCH("hémianops",$J154)),ISNUMBER(SEARCH("hemianops",$J154))),"42.05",""),IF(OR(ISNUMBER(SEARCH("faiblesse",$H154)),ISNUMBER(SEARCH("spastic",$H154))),"40.11",""),IF(OR(ISNUMBER(SEARCH("faiblesse",$H154)),ISNUMBER(SEARCH("spastic",$H154))),"35.02",""))</f>
        <v/>
      </c>
      <c r="Y154" s="2">
        <f>TEXTJOIN(" | ",TRUE,IF($I154="Oui","Vision: correction (lunettes/lentilles) selon bilan ophtalmo.",""),IF(OR(ISNUMBER(SEARCH("diplop",$J154)),ISNUMBER(SEARCH("occlus",$J154))),"Si diplopie: prisme/occlusion/couvre-œil si indiqué + avis oph.",""),IF(OR(ISNUMBER(SEARCH("main droite",$H154)),ISNUMBER(SEARCH("hémipar",$H154)),ISNUMBER(SEARCH("hemipar",$H154))),"Si déficit MS: privilégier véhicule à boîte automatique + aide au volant/commandes.",""),IF(OR(ISNUMBER(SEARCH("équilibre",$H154)),ISNUMBER(SEARCH("equilibre",$H154)),ISNUMBER(SEARCH("atax",$H154))),"Si instabilité: siège avec soutien latéral / accoudoir.",""),IF(OR(ISNUMBER(SEARCH("hémianops",$J154)),ISNUMBER(SEARCH("hemianops",$J154))),"Si champ visuel limité: dispositifs de vision angle mort (si compatible) + avis spécialisé.",""))</f>
        <v/>
      </c>
    </row>
    <row r="155">
      <c r="T155" s="2">
        <f>IF($E155="&lt; 6 mois","FIN_A",IF($G155="Oui","FIN_A",IF($I155="Oui",IFERROR(IF(OR(ISNUMBER(SEARCH("hémianops",$J155)),ISNUMBER(SEARCH("hemianops",$J155)),ISNUMBER(SEARCH("quadranops",$J155)),ISNUMBER(SEARCH("diplop",$J155)),ISNUMBER(SEARCH("nystag",$J155)),ISNUMBER(SEARCH("saccad",$J155))),"FIN_A","FIN_E"),"FIN_E"),IF($K155="Oui","FIN_C",IF($M155="Oui","FIN_A",IF($N155="Oui","FIN_A",IF($O155="Oui","FIN_A",IF($P155="Oui","FIN_A",IF($Q155="Oui","FIN_D",IF($R155="Non","FIN_E",IF($S155="Oui","FIN_A","FIN_D"))))))))))))</f>
        <v/>
      </c>
      <c r="X155" s="2">
        <f>TEXTJOIN(", ",TRUE,IF($I155="Oui",IF(ISNUMBER(SEARCH("lent",$J155)),"01.02",IF(ISNUMBER(SEARCH("lunett",$J155)),"01.01","01.06")),""),IF(OR(ISNUMBER(SEARCH("diplop",$J155)),ISNUMBER(SEARCH("couvre",$J155)),ISNUMBER(SEARCH("occlus",$J155))),"01.05",""),IF(OR(ISNUMBER(SEARCH("main droite",$H155)),ISNUMBER(SEARCH("faiblesse droite",$H155)),ISNUMBER(SEARCH("hémipar",$H155)),ISNUMBER(SEARCH("hemipar",$H155))),"78",""),IF(OR(ISNUMBER(SEARCH("main",$H155)),ISNUMBER(SEARCH("membre supérieur",$H155)),ISNUMBER(SEARCH("membre superieur",$H155))),"03.01",""),IF(OR(ISNUMBER(SEARCH("équilibre",$H155)),ISNUMBER(SEARCH("equilibre",$H155)),ISNUMBER(SEARCH("atax",$H155))),"43.03",""),IF(OR(ISNUMBER(SEARCH("champ visuel",$J155)),ISNUMBER(SEARCH("hémianops",$J155)),ISNUMBER(SEARCH("hemianops",$J155))),"42.05",""),IF(OR(ISNUMBER(SEARCH("faiblesse",$H155)),ISNUMBER(SEARCH("spastic",$H155))),"40.11",""),IF(OR(ISNUMBER(SEARCH("faiblesse",$H155)),ISNUMBER(SEARCH("spastic",$H155))),"35.02",""))</f>
        <v/>
      </c>
      <c r="Y155" s="2">
        <f>TEXTJOIN(" | ",TRUE,IF($I155="Oui","Vision: correction (lunettes/lentilles) selon bilan ophtalmo.",""),IF(OR(ISNUMBER(SEARCH("diplop",$J155)),ISNUMBER(SEARCH("occlus",$J155))),"Si diplopie: prisme/occlusion/couvre-œil si indiqué + avis oph.",""),IF(OR(ISNUMBER(SEARCH("main droite",$H155)),ISNUMBER(SEARCH("hémipar",$H155)),ISNUMBER(SEARCH("hemipar",$H155))),"Si déficit MS: privilégier véhicule à boîte automatique + aide au volant/commandes.",""),IF(OR(ISNUMBER(SEARCH("équilibre",$H155)),ISNUMBER(SEARCH("equilibre",$H155)),ISNUMBER(SEARCH("atax",$H155))),"Si instabilité: siège avec soutien latéral / accoudoir.",""),IF(OR(ISNUMBER(SEARCH("hémianops",$J155)),ISNUMBER(SEARCH("hemianops",$J155))),"Si champ visuel limité: dispositifs de vision angle mort (si compatible) + avis spécialisé.",""))</f>
        <v/>
      </c>
    </row>
    <row r="156">
      <c r="T156" s="2">
        <f>IF($E156="&lt; 6 mois","FIN_A",IF($G156="Oui","FIN_A",IF($I156="Oui",IFERROR(IF(OR(ISNUMBER(SEARCH("hémianops",$J156)),ISNUMBER(SEARCH("hemianops",$J156)),ISNUMBER(SEARCH("quadranops",$J156)),ISNUMBER(SEARCH("diplop",$J156)),ISNUMBER(SEARCH("nystag",$J156)),ISNUMBER(SEARCH("saccad",$J156))),"FIN_A","FIN_E"),"FIN_E"),IF($K156="Oui","FIN_C",IF($M156="Oui","FIN_A",IF($N156="Oui","FIN_A",IF($O156="Oui","FIN_A",IF($P156="Oui","FIN_A",IF($Q156="Oui","FIN_D",IF($R156="Non","FIN_E",IF($S156="Oui","FIN_A","FIN_D"))))))))))))</f>
        <v/>
      </c>
      <c r="X156" s="2">
        <f>TEXTJOIN(", ",TRUE,IF($I156="Oui",IF(ISNUMBER(SEARCH("lent",$J156)),"01.02",IF(ISNUMBER(SEARCH("lunett",$J156)),"01.01","01.06")),""),IF(OR(ISNUMBER(SEARCH("diplop",$J156)),ISNUMBER(SEARCH("couvre",$J156)),ISNUMBER(SEARCH("occlus",$J156))),"01.05",""),IF(OR(ISNUMBER(SEARCH("main droite",$H156)),ISNUMBER(SEARCH("faiblesse droite",$H156)),ISNUMBER(SEARCH("hémipar",$H156)),ISNUMBER(SEARCH("hemipar",$H156))),"78",""),IF(OR(ISNUMBER(SEARCH("main",$H156)),ISNUMBER(SEARCH("membre supérieur",$H156)),ISNUMBER(SEARCH("membre superieur",$H156))),"03.01",""),IF(OR(ISNUMBER(SEARCH("équilibre",$H156)),ISNUMBER(SEARCH("equilibre",$H156)),ISNUMBER(SEARCH("atax",$H156))),"43.03",""),IF(OR(ISNUMBER(SEARCH("champ visuel",$J156)),ISNUMBER(SEARCH("hémianops",$J156)),ISNUMBER(SEARCH("hemianops",$J156))),"42.05",""),IF(OR(ISNUMBER(SEARCH("faiblesse",$H156)),ISNUMBER(SEARCH("spastic",$H156))),"40.11",""),IF(OR(ISNUMBER(SEARCH("faiblesse",$H156)),ISNUMBER(SEARCH("spastic",$H156))),"35.02",""))</f>
        <v/>
      </c>
      <c r="Y156" s="2">
        <f>TEXTJOIN(" | ",TRUE,IF($I156="Oui","Vision: correction (lunettes/lentilles) selon bilan ophtalmo.",""),IF(OR(ISNUMBER(SEARCH("diplop",$J156)),ISNUMBER(SEARCH("occlus",$J156))),"Si diplopie: prisme/occlusion/couvre-œil si indiqué + avis oph.",""),IF(OR(ISNUMBER(SEARCH("main droite",$H156)),ISNUMBER(SEARCH("hémipar",$H156)),ISNUMBER(SEARCH("hemipar",$H156))),"Si déficit MS: privilégier véhicule à boîte automatique + aide au volant/commandes.",""),IF(OR(ISNUMBER(SEARCH("équilibre",$H156)),ISNUMBER(SEARCH("equilibre",$H156)),ISNUMBER(SEARCH("atax",$H156))),"Si instabilité: siège avec soutien latéral / accoudoir.",""),IF(OR(ISNUMBER(SEARCH("hémianops",$J156)),ISNUMBER(SEARCH("hemianops",$J156))),"Si champ visuel limité: dispositifs de vision angle mort (si compatible) + avis spécialisé.",""))</f>
        <v/>
      </c>
    </row>
    <row r="157">
      <c r="T157" s="2">
        <f>IF($E157="&lt; 6 mois","FIN_A",IF($G157="Oui","FIN_A",IF($I157="Oui",IFERROR(IF(OR(ISNUMBER(SEARCH("hémianops",$J157)),ISNUMBER(SEARCH("hemianops",$J157)),ISNUMBER(SEARCH("quadranops",$J157)),ISNUMBER(SEARCH("diplop",$J157)),ISNUMBER(SEARCH("nystag",$J157)),ISNUMBER(SEARCH("saccad",$J157))),"FIN_A","FIN_E"),"FIN_E"),IF($K157="Oui","FIN_C",IF($M157="Oui","FIN_A",IF($N157="Oui","FIN_A",IF($O157="Oui","FIN_A",IF($P157="Oui","FIN_A",IF($Q157="Oui","FIN_D",IF($R157="Non","FIN_E",IF($S157="Oui","FIN_A","FIN_D"))))))))))))</f>
        <v/>
      </c>
      <c r="X157" s="2">
        <f>TEXTJOIN(", ",TRUE,IF($I157="Oui",IF(ISNUMBER(SEARCH("lent",$J157)),"01.02",IF(ISNUMBER(SEARCH("lunett",$J157)),"01.01","01.06")),""),IF(OR(ISNUMBER(SEARCH("diplop",$J157)),ISNUMBER(SEARCH("couvre",$J157)),ISNUMBER(SEARCH("occlus",$J157))),"01.05",""),IF(OR(ISNUMBER(SEARCH("main droite",$H157)),ISNUMBER(SEARCH("faiblesse droite",$H157)),ISNUMBER(SEARCH("hémipar",$H157)),ISNUMBER(SEARCH("hemipar",$H157))),"78",""),IF(OR(ISNUMBER(SEARCH("main",$H157)),ISNUMBER(SEARCH("membre supérieur",$H157)),ISNUMBER(SEARCH("membre superieur",$H157))),"03.01",""),IF(OR(ISNUMBER(SEARCH("équilibre",$H157)),ISNUMBER(SEARCH("equilibre",$H157)),ISNUMBER(SEARCH("atax",$H157))),"43.03",""),IF(OR(ISNUMBER(SEARCH("champ visuel",$J157)),ISNUMBER(SEARCH("hémianops",$J157)),ISNUMBER(SEARCH("hemianops",$J157))),"42.05",""),IF(OR(ISNUMBER(SEARCH("faiblesse",$H157)),ISNUMBER(SEARCH("spastic",$H157))),"40.11",""),IF(OR(ISNUMBER(SEARCH("faiblesse",$H157)),ISNUMBER(SEARCH("spastic",$H157))),"35.02",""))</f>
        <v/>
      </c>
      <c r="Y157" s="2">
        <f>TEXTJOIN(" | ",TRUE,IF($I157="Oui","Vision: correction (lunettes/lentilles) selon bilan ophtalmo.",""),IF(OR(ISNUMBER(SEARCH("diplop",$J157)),ISNUMBER(SEARCH("occlus",$J157))),"Si diplopie: prisme/occlusion/couvre-œil si indiqué + avis oph.",""),IF(OR(ISNUMBER(SEARCH("main droite",$H157)),ISNUMBER(SEARCH("hémipar",$H157)),ISNUMBER(SEARCH("hemipar",$H157))),"Si déficit MS: privilégier véhicule à boîte automatique + aide au volant/commandes.",""),IF(OR(ISNUMBER(SEARCH("équilibre",$H157)),ISNUMBER(SEARCH("equilibre",$H157)),ISNUMBER(SEARCH("atax",$H157))),"Si instabilité: siège avec soutien latéral / accoudoir.",""),IF(OR(ISNUMBER(SEARCH("hémianops",$J157)),ISNUMBER(SEARCH("hemianops",$J157))),"Si champ visuel limité: dispositifs de vision angle mort (si compatible) + avis spécialisé.",""))</f>
        <v/>
      </c>
    </row>
    <row r="158">
      <c r="T158" s="2">
        <f>IF($E158="&lt; 6 mois","FIN_A",IF($G158="Oui","FIN_A",IF($I158="Oui",IFERROR(IF(OR(ISNUMBER(SEARCH("hémianops",$J158)),ISNUMBER(SEARCH("hemianops",$J158)),ISNUMBER(SEARCH("quadranops",$J158)),ISNUMBER(SEARCH("diplop",$J158)),ISNUMBER(SEARCH("nystag",$J158)),ISNUMBER(SEARCH("saccad",$J158))),"FIN_A","FIN_E"),"FIN_E"),IF($K158="Oui","FIN_C",IF($M158="Oui","FIN_A",IF($N158="Oui","FIN_A",IF($O158="Oui","FIN_A",IF($P158="Oui","FIN_A",IF($Q158="Oui","FIN_D",IF($R158="Non","FIN_E",IF($S158="Oui","FIN_A","FIN_D"))))))))))))</f>
        <v/>
      </c>
      <c r="X158" s="2">
        <f>TEXTJOIN(", ",TRUE,IF($I158="Oui",IF(ISNUMBER(SEARCH("lent",$J158)),"01.02",IF(ISNUMBER(SEARCH("lunett",$J158)),"01.01","01.06")),""),IF(OR(ISNUMBER(SEARCH("diplop",$J158)),ISNUMBER(SEARCH("couvre",$J158)),ISNUMBER(SEARCH("occlus",$J158))),"01.05",""),IF(OR(ISNUMBER(SEARCH("main droite",$H158)),ISNUMBER(SEARCH("faiblesse droite",$H158)),ISNUMBER(SEARCH("hémipar",$H158)),ISNUMBER(SEARCH("hemipar",$H158))),"78",""),IF(OR(ISNUMBER(SEARCH("main",$H158)),ISNUMBER(SEARCH("membre supérieur",$H158)),ISNUMBER(SEARCH("membre superieur",$H158))),"03.01",""),IF(OR(ISNUMBER(SEARCH("équilibre",$H158)),ISNUMBER(SEARCH("equilibre",$H158)),ISNUMBER(SEARCH("atax",$H158))),"43.03",""),IF(OR(ISNUMBER(SEARCH("champ visuel",$J158)),ISNUMBER(SEARCH("hémianops",$J158)),ISNUMBER(SEARCH("hemianops",$J158))),"42.05",""),IF(OR(ISNUMBER(SEARCH("faiblesse",$H158)),ISNUMBER(SEARCH("spastic",$H158))),"40.11",""),IF(OR(ISNUMBER(SEARCH("faiblesse",$H158)),ISNUMBER(SEARCH("spastic",$H158))),"35.02",""))</f>
        <v/>
      </c>
      <c r="Y158" s="2">
        <f>TEXTJOIN(" | ",TRUE,IF($I158="Oui","Vision: correction (lunettes/lentilles) selon bilan ophtalmo.",""),IF(OR(ISNUMBER(SEARCH("diplop",$J158)),ISNUMBER(SEARCH("occlus",$J158))),"Si diplopie: prisme/occlusion/couvre-œil si indiqué + avis oph.",""),IF(OR(ISNUMBER(SEARCH("main droite",$H158)),ISNUMBER(SEARCH("hémipar",$H158)),ISNUMBER(SEARCH("hemipar",$H158))),"Si déficit MS: privilégier véhicule à boîte automatique + aide au volant/commandes.",""),IF(OR(ISNUMBER(SEARCH("équilibre",$H158)),ISNUMBER(SEARCH("equilibre",$H158)),ISNUMBER(SEARCH("atax",$H158))),"Si instabilité: siège avec soutien latéral / accoudoir.",""),IF(OR(ISNUMBER(SEARCH("hémianops",$J158)),ISNUMBER(SEARCH("hemianops",$J158))),"Si champ visuel limité: dispositifs de vision angle mort (si compatible) + avis spécialisé.",""))</f>
        <v/>
      </c>
    </row>
    <row r="159">
      <c r="T159" s="2">
        <f>IF($E159="&lt; 6 mois","FIN_A",IF($G159="Oui","FIN_A",IF($I159="Oui",IFERROR(IF(OR(ISNUMBER(SEARCH("hémianops",$J159)),ISNUMBER(SEARCH("hemianops",$J159)),ISNUMBER(SEARCH("quadranops",$J159)),ISNUMBER(SEARCH("diplop",$J159)),ISNUMBER(SEARCH("nystag",$J159)),ISNUMBER(SEARCH("saccad",$J159))),"FIN_A","FIN_E"),"FIN_E"),IF($K159="Oui","FIN_C",IF($M159="Oui","FIN_A",IF($N159="Oui","FIN_A",IF($O159="Oui","FIN_A",IF($P159="Oui","FIN_A",IF($Q159="Oui","FIN_D",IF($R159="Non","FIN_E",IF($S159="Oui","FIN_A","FIN_D"))))))))))))</f>
        <v/>
      </c>
      <c r="X159" s="2">
        <f>TEXTJOIN(", ",TRUE,IF($I159="Oui",IF(ISNUMBER(SEARCH("lent",$J159)),"01.02",IF(ISNUMBER(SEARCH("lunett",$J159)),"01.01","01.06")),""),IF(OR(ISNUMBER(SEARCH("diplop",$J159)),ISNUMBER(SEARCH("couvre",$J159)),ISNUMBER(SEARCH("occlus",$J159))),"01.05",""),IF(OR(ISNUMBER(SEARCH("main droite",$H159)),ISNUMBER(SEARCH("faiblesse droite",$H159)),ISNUMBER(SEARCH("hémipar",$H159)),ISNUMBER(SEARCH("hemipar",$H159))),"78",""),IF(OR(ISNUMBER(SEARCH("main",$H159)),ISNUMBER(SEARCH("membre supérieur",$H159)),ISNUMBER(SEARCH("membre superieur",$H159))),"03.01",""),IF(OR(ISNUMBER(SEARCH("équilibre",$H159)),ISNUMBER(SEARCH("equilibre",$H159)),ISNUMBER(SEARCH("atax",$H159))),"43.03",""),IF(OR(ISNUMBER(SEARCH("champ visuel",$J159)),ISNUMBER(SEARCH("hémianops",$J159)),ISNUMBER(SEARCH("hemianops",$J159))),"42.05",""),IF(OR(ISNUMBER(SEARCH("faiblesse",$H159)),ISNUMBER(SEARCH("spastic",$H159))),"40.11",""),IF(OR(ISNUMBER(SEARCH("faiblesse",$H159)),ISNUMBER(SEARCH("spastic",$H159))),"35.02",""))</f>
        <v/>
      </c>
      <c r="Y159" s="2">
        <f>TEXTJOIN(" | ",TRUE,IF($I159="Oui","Vision: correction (lunettes/lentilles) selon bilan ophtalmo.",""),IF(OR(ISNUMBER(SEARCH("diplop",$J159)),ISNUMBER(SEARCH("occlus",$J159))),"Si diplopie: prisme/occlusion/couvre-œil si indiqué + avis oph.",""),IF(OR(ISNUMBER(SEARCH("main droite",$H159)),ISNUMBER(SEARCH("hémipar",$H159)),ISNUMBER(SEARCH("hemipar",$H159))),"Si déficit MS: privilégier véhicule à boîte automatique + aide au volant/commandes.",""),IF(OR(ISNUMBER(SEARCH("équilibre",$H159)),ISNUMBER(SEARCH("equilibre",$H159)),ISNUMBER(SEARCH("atax",$H159))),"Si instabilité: siège avec soutien latéral / accoudoir.",""),IF(OR(ISNUMBER(SEARCH("hémianops",$J159)),ISNUMBER(SEARCH("hemianops",$J159))),"Si champ visuel limité: dispositifs de vision angle mort (si compatible) + avis spécialisé.",""))</f>
        <v/>
      </c>
    </row>
    <row r="160">
      <c r="T160" s="2">
        <f>IF($E160="&lt; 6 mois","FIN_A",IF($G160="Oui","FIN_A",IF($I160="Oui",IFERROR(IF(OR(ISNUMBER(SEARCH("hémianops",$J160)),ISNUMBER(SEARCH("hemianops",$J160)),ISNUMBER(SEARCH("quadranops",$J160)),ISNUMBER(SEARCH("diplop",$J160)),ISNUMBER(SEARCH("nystag",$J160)),ISNUMBER(SEARCH("saccad",$J160))),"FIN_A","FIN_E"),"FIN_E"),IF($K160="Oui","FIN_C",IF($M160="Oui","FIN_A",IF($N160="Oui","FIN_A",IF($O160="Oui","FIN_A",IF($P160="Oui","FIN_A",IF($Q160="Oui","FIN_D",IF($R160="Non","FIN_E",IF($S160="Oui","FIN_A","FIN_D"))))))))))))</f>
        <v/>
      </c>
      <c r="X160" s="2">
        <f>TEXTJOIN(", ",TRUE,IF($I160="Oui",IF(ISNUMBER(SEARCH("lent",$J160)),"01.02",IF(ISNUMBER(SEARCH("lunett",$J160)),"01.01","01.06")),""),IF(OR(ISNUMBER(SEARCH("diplop",$J160)),ISNUMBER(SEARCH("couvre",$J160)),ISNUMBER(SEARCH("occlus",$J160))),"01.05",""),IF(OR(ISNUMBER(SEARCH("main droite",$H160)),ISNUMBER(SEARCH("faiblesse droite",$H160)),ISNUMBER(SEARCH("hémipar",$H160)),ISNUMBER(SEARCH("hemipar",$H160))),"78",""),IF(OR(ISNUMBER(SEARCH("main",$H160)),ISNUMBER(SEARCH("membre supérieur",$H160)),ISNUMBER(SEARCH("membre superieur",$H160))),"03.01",""),IF(OR(ISNUMBER(SEARCH("équilibre",$H160)),ISNUMBER(SEARCH("equilibre",$H160)),ISNUMBER(SEARCH("atax",$H160))),"43.03",""),IF(OR(ISNUMBER(SEARCH("champ visuel",$J160)),ISNUMBER(SEARCH("hémianops",$J160)),ISNUMBER(SEARCH("hemianops",$J160))),"42.05",""),IF(OR(ISNUMBER(SEARCH("faiblesse",$H160)),ISNUMBER(SEARCH("spastic",$H160))),"40.11",""),IF(OR(ISNUMBER(SEARCH("faiblesse",$H160)),ISNUMBER(SEARCH("spastic",$H160))),"35.02",""))</f>
        <v/>
      </c>
      <c r="Y160" s="2">
        <f>TEXTJOIN(" | ",TRUE,IF($I160="Oui","Vision: correction (lunettes/lentilles) selon bilan ophtalmo.",""),IF(OR(ISNUMBER(SEARCH("diplop",$J160)),ISNUMBER(SEARCH("occlus",$J160))),"Si diplopie: prisme/occlusion/couvre-œil si indiqué + avis oph.",""),IF(OR(ISNUMBER(SEARCH("main droite",$H160)),ISNUMBER(SEARCH("hémipar",$H160)),ISNUMBER(SEARCH("hemipar",$H160))),"Si déficit MS: privilégier véhicule à boîte automatique + aide au volant/commandes.",""),IF(OR(ISNUMBER(SEARCH("équilibre",$H160)),ISNUMBER(SEARCH("equilibre",$H160)),ISNUMBER(SEARCH("atax",$H160))),"Si instabilité: siège avec soutien latéral / accoudoir.",""),IF(OR(ISNUMBER(SEARCH("hémianops",$J160)),ISNUMBER(SEARCH("hemianops",$J160))),"Si champ visuel limité: dispositifs de vision angle mort (si compatible) + avis spécialisé.",""))</f>
        <v/>
      </c>
    </row>
    <row r="161">
      <c r="T161" s="2">
        <f>IF($E161="&lt; 6 mois","FIN_A",IF($G161="Oui","FIN_A",IF($I161="Oui",IFERROR(IF(OR(ISNUMBER(SEARCH("hémianops",$J161)),ISNUMBER(SEARCH("hemianops",$J161)),ISNUMBER(SEARCH("quadranops",$J161)),ISNUMBER(SEARCH("diplop",$J161)),ISNUMBER(SEARCH("nystag",$J161)),ISNUMBER(SEARCH("saccad",$J161))),"FIN_A","FIN_E"),"FIN_E"),IF($K161="Oui","FIN_C",IF($M161="Oui","FIN_A",IF($N161="Oui","FIN_A",IF($O161="Oui","FIN_A",IF($P161="Oui","FIN_A",IF($Q161="Oui","FIN_D",IF($R161="Non","FIN_E",IF($S161="Oui","FIN_A","FIN_D"))))))))))))</f>
        <v/>
      </c>
      <c r="X161" s="2">
        <f>TEXTJOIN(", ",TRUE,IF($I161="Oui",IF(ISNUMBER(SEARCH("lent",$J161)),"01.02",IF(ISNUMBER(SEARCH("lunett",$J161)),"01.01","01.06")),""),IF(OR(ISNUMBER(SEARCH("diplop",$J161)),ISNUMBER(SEARCH("couvre",$J161)),ISNUMBER(SEARCH("occlus",$J161))),"01.05",""),IF(OR(ISNUMBER(SEARCH("main droite",$H161)),ISNUMBER(SEARCH("faiblesse droite",$H161)),ISNUMBER(SEARCH("hémipar",$H161)),ISNUMBER(SEARCH("hemipar",$H161))),"78",""),IF(OR(ISNUMBER(SEARCH("main",$H161)),ISNUMBER(SEARCH("membre supérieur",$H161)),ISNUMBER(SEARCH("membre superieur",$H161))),"03.01",""),IF(OR(ISNUMBER(SEARCH("équilibre",$H161)),ISNUMBER(SEARCH("equilibre",$H161)),ISNUMBER(SEARCH("atax",$H161))),"43.03",""),IF(OR(ISNUMBER(SEARCH("champ visuel",$J161)),ISNUMBER(SEARCH("hémianops",$J161)),ISNUMBER(SEARCH("hemianops",$J161))),"42.05",""),IF(OR(ISNUMBER(SEARCH("faiblesse",$H161)),ISNUMBER(SEARCH("spastic",$H161))),"40.11",""),IF(OR(ISNUMBER(SEARCH("faiblesse",$H161)),ISNUMBER(SEARCH("spastic",$H161))),"35.02",""))</f>
        <v/>
      </c>
      <c r="Y161" s="2">
        <f>TEXTJOIN(" | ",TRUE,IF($I161="Oui","Vision: correction (lunettes/lentilles) selon bilan ophtalmo.",""),IF(OR(ISNUMBER(SEARCH("diplop",$J161)),ISNUMBER(SEARCH("occlus",$J161))),"Si diplopie: prisme/occlusion/couvre-œil si indiqué + avis oph.",""),IF(OR(ISNUMBER(SEARCH("main droite",$H161)),ISNUMBER(SEARCH("hémipar",$H161)),ISNUMBER(SEARCH("hemipar",$H161))),"Si déficit MS: privilégier véhicule à boîte automatique + aide au volant/commandes.",""),IF(OR(ISNUMBER(SEARCH("équilibre",$H161)),ISNUMBER(SEARCH("equilibre",$H161)),ISNUMBER(SEARCH("atax",$H161))),"Si instabilité: siège avec soutien latéral / accoudoir.",""),IF(OR(ISNUMBER(SEARCH("hémianops",$J161)),ISNUMBER(SEARCH("hemianops",$J161))),"Si champ visuel limité: dispositifs de vision angle mort (si compatible) + avis spécialisé.",""))</f>
        <v/>
      </c>
    </row>
    <row r="162">
      <c r="T162" s="2">
        <f>IF($E162="&lt; 6 mois","FIN_A",IF($G162="Oui","FIN_A",IF($I162="Oui",IFERROR(IF(OR(ISNUMBER(SEARCH("hémianops",$J162)),ISNUMBER(SEARCH("hemianops",$J162)),ISNUMBER(SEARCH("quadranops",$J162)),ISNUMBER(SEARCH("diplop",$J162)),ISNUMBER(SEARCH("nystag",$J162)),ISNUMBER(SEARCH("saccad",$J162))),"FIN_A","FIN_E"),"FIN_E"),IF($K162="Oui","FIN_C",IF($M162="Oui","FIN_A",IF($N162="Oui","FIN_A",IF($O162="Oui","FIN_A",IF($P162="Oui","FIN_A",IF($Q162="Oui","FIN_D",IF($R162="Non","FIN_E",IF($S162="Oui","FIN_A","FIN_D"))))))))))))</f>
        <v/>
      </c>
      <c r="X162" s="2">
        <f>TEXTJOIN(", ",TRUE,IF($I162="Oui",IF(ISNUMBER(SEARCH("lent",$J162)),"01.02",IF(ISNUMBER(SEARCH("lunett",$J162)),"01.01","01.06")),""),IF(OR(ISNUMBER(SEARCH("diplop",$J162)),ISNUMBER(SEARCH("couvre",$J162)),ISNUMBER(SEARCH("occlus",$J162))),"01.05",""),IF(OR(ISNUMBER(SEARCH("main droite",$H162)),ISNUMBER(SEARCH("faiblesse droite",$H162)),ISNUMBER(SEARCH("hémipar",$H162)),ISNUMBER(SEARCH("hemipar",$H162))),"78",""),IF(OR(ISNUMBER(SEARCH("main",$H162)),ISNUMBER(SEARCH("membre supérieur",$H162)),ISNUMBER(SEARCH("membre superieur",$H162))),"03.01",""),IF(OR(ISNUMBER(SEARCH("équilibre",$H162)),ISNUMBER(SEARCH("equilibre",$H162)),ISNUMBER(SEARCH("atax",$H162))),"43.03",""),IF(OR(ISNUMBER(SEARCH("champ visuel",$J162)),ISNUMBER(SEARCH("hémianops",$J162)),ISNUMBER(SEARCH("hemianops",$J162))),"42.05",""),IF(OR(ISNUMBER(SEARCH("faiblesse",$H162)),ISNUMBER(SEARCH("spastic",$H162))),"40.11",""),IF(OR(ISNUMBER(SEARCH("faiblesse",$H162)),ISNUMBER(SEARCH("spastic",$H162))),"35.02",""))</f>
        <v/>
      </c>
      <c r="Y162" s="2">
        <f>TEXTJOIN(" | ",TRUE,IF($I162="Oui","Vision: correction (lunettes/lentilles) selon bilan ophtalmo.",""),IF(OR(ISNUMBER(SEARCH("diplop",$J162)),ISNUMBER(SEARCH("occlus",$J162))),"Si diplopie: prisme/occlusion/couvre-œil si indiqué + avis oph.",""),IF(OR(ISNUMBER(SEARCH("main droite",$H162)),ISNUMBER(SEARCH("hémipar",$H162)),ISNUMBER(SEARCH("hemipar",$H162))),"Si déficit MS: privilégier véhicule à boîte automatique + aide au volant/commandes.",""),IF(OR(ISNUMBER(SEARCH("équilibre",$H162)),ISNUMBER(SEARCH("equilibre",$H162)),ISNUMBER(SEARCH("atax",$H162))),"Si instabilité: siège avec soutien latéral / accoudoir.",""),IF(OR(ISNUMBER(SEARCH("hémianops",$J162)),ISNUMBER(SEARCH("hemianops",$J162))),"Si champ visuel limité: dispositifs de vision angle mort (si compatible) + avis spécialisé.",""))</f>
        <v/>
      </c>
    </row>
    <row r="163">
      <c r="T163" s="2">
        <f>IF($E163="&lt; 6 mois","FIN_A",IF($G163="Oui","FIN_A",IF($I163="Oui",IFERROR(IF(OR(ISNUMBER(SEARCH("hémianops",$J163)),ISNUMBER(SEARCH("hemianops",$J163)),ISNUMBER(SEARCH("quadranops",$J163)),ISNUMBER(SEARCH("diplop",$J163)),ISNUMBER(SEARCH("nystag",$J163)),ISNUMBER(SEARCH("saccad",$J163))),"FIN_A","FIN_E"),"FIN_E"),IF($K163="Oui","FIN_C",IF($M163="Oui","FIN_A",IF($N163="Oui","FIN_A",IF($O163="Oui","FIN_A",IF($P163="Oui","FIN_A",IF($Q163="Oui","FIN_D",IF($R163="Non","FIN_E",IF($S163="Oui","FIN_A","FIN_D"))))))))))))</f>
        <v/>
      </c>
      <c r="X163" s="2">
        <f>TEXTJOIN(", ",TRUE,IF($I163="Oui",IF(ISNUMBER(SEARCH("lent",$J163)),"01.02",IF(ISNUMBER(SEARCH("lunett",$J163)),"01.01","01.06")),""),IF(OR(ISNUMBER(SEARCH("diplop",$J163)),ISNUMBER(SEARCH("couvre",$J163)),ISNUMBER(SEARCH("occlus",$J163))),"01.05",""),IF(OR(ISNUMBER(SEARCH("main droite",$H163)),ISNUMBER(SEARCH("faiblesse droite",$H163)),ISNUMBER(SEARCH("hémipar",$H163)),ISNUMBER(SEARCH("hemipar",$H163))),"78",""),IF(OR(ISNUMBER(SEARCH("main",$H163)),ISNUMBER(SEARCH("membre supérieur",$H163)),ISNUMBER(SEARCH("membre superieur",$H163))),"03.01",""),IF(OR(ISNUMBER(SEARCH("équilibre",$H163)),ISNUMBER(SEARCH("equilibre",$H163)),ISNUMBER(SEARCH("atax",$H163))),"43.03",""),IF(OR(ISNUMBER(SEARCH("champ visuel",$J163)),ISNUMBER(SEARCH("hémianops",$J163)),ISNUMBER(SEARCH("hemianops",$J163))),"42.05",""),IF(OR(ISNUMBER(SEARCH("faiblesse",$H163)),ISNUMBER(SEARCH("spastic",$H163))),"40.11",""),IF(OR(ISNUMBER(SEARCH("faiblesse",$H163)),ISNUMBER(SEARCH("spastic",$H163))),"35.02",""))</f>
        <v/>
      </c>
      <c r="Y163" s="2">
        <f>TEXTJOIN(" | ",TRUE,IF($I163="Oui","Vision: correction (lunettes/lentilles) selon bilan ophtalmo.",""),IF(OR(ISNUMBER(SEARCH("diplop",$J163)),ISNUMBER(SEARCH("occlus",$J163))),"Si diplopie: prisme/occlusion/couvre-œil si indiqué + avis oph.",""),IF(OR(ISNUMBER(SEARCH("main droite",$H163)),ISNUMBER(SEARCH("hémipar",$H163)),ISNUMBER(SEARCH("hemipar",$H163))),"Si déficit MS: privilégier véhicule à boîte automatique + aide au volant/commandes.",""),IF(OR(ISNUMBER(SEARCH("équilibre",$H163)),ISNUMBER(SEARCH("equilibre",$H163)),ISNUMBER(SEARCH("atax",$H163))),"Si instabilité: siège avec soutien latéral / accoudoir.",""),IF(OR(ISNUMBER(SEARCH("hémianops",$J163)),ISNUMBER(SEARCH("hemianops",$J163))),"Si champ visuel limité: dispositifs de vision angle mort (si compatible) + avis spécialisé.",""))</f>
        <v/>
      </c>
    </row>
    <row r="164">
      <c r="T164" s="2">
        <f>IF($E164="&lt; 6 mois","FIN_A",IF($G164="Oui","FIN_A",IF($I164="Oui",IFERROR(IF(OR(ISNUMBER(SEARCH("hémianops",$J164)),ISNUMBER(SEARCH("hemianops",$J164)),ISNUMBER(SEARCH("quadranops",$J164)),ISNUMBER(SEARCH("diplop",$J164)),ISNUMBER(SEARCH("nystag",$J164)),ISNUMBER(SEARCH("saccad",$J164))),"FIN_A","FIN_E"),"FIN_E"),IF($K164="Oui","FIN_C",IF($M164="Oui","FIN_A",IF($N164="Oui","FIN_A",IF($O164="Oui","FIN_A",IF($P164="Oui","FIN_A",IF($Q164="Oui","FIN_D",IF($R164="Non","FIN_E",IF($S164="Oui","FIN_A","FIN_D"))))))))))))</f>
        <v/>
      </c>
      <c r="X164" s="2">
        <f>TEXTJOIN(", ",TRUE,IF($I164="Oui",IF(ISNUMBER(SEARCH("lent",$J164)),"01.02",IF(ISNUMBER(SEARCH("lunett",$J164)),"01.01","01.06")),""),IF(OR(ISNUMBER(SEARCH("diplop",$J164)),ISNUMBER(SEARCH("couvre",$J164)),ISNUMBER(SEARCH("occlus",$J164))),"01.05",""),IF(OR(ISNUMBER(SEARCH("main droite",$H164)),ISNUMBER(SEARCH("faiblesse droite",$H164)),ISNUMBER(SEARCH("hémipar",$H164)),ISNUMBER(SEARCH("hemipar",$H164))),"78",""),IF(OR(ISNUMBER(SEARCH("main",$H164)),ISNUMBER(SEARCH("membre supérieur",$H164)),ISNUMBER(SEARCH("membre superieur",$H164))),"03.01",""),IF(OR(ISNUMBER(SEARCH("équilibre",$H164)),ISNUMBER(SEARCH("equilibre",$H164)),ISNUMBER(SEARCH("atax",$H164))),"43.03",""),IF(OR(ISNUMBER(SEARCH("champ visuel",$J164)),ISNUMBER(SEARCH("hémianops",$J164)),ISNUMBER(SEARCH("hemianops",$J164))),"42.05",""),IF(OR(ISNUMBER(SEARCH("faiblesse",$H164)),ISNUMBER(SEARCH("spastic",$H164))),"40.11",""),IF(OR(ISNUMBER(SEARCH("faiblesse",$H164)),ISNUMBER(SEARCH("spastic",$H164))),"35.02",""))</f>
        <v/>
      </c>
      <c r="Y164" s="2">
        <f>TEXTJOIN(" | ",TRUE,IF($I164="Oui","Vision: correction (lunettes/lentilles) selon bilan ophtalmo.",""),IF(OR(ISNUMBER(SEARCH("diplop",$J164)),ISNUMBER(SEARCH("occlus",$J164))),"Si diplopie: prisme/occlusion/couvre-œil si indiqué + avis oph.",""),IF(OR(ISNUMBER(SEARCH("main droite",$H164)),ISNUMBER(SEARCH("hémipar",$H164)),ISNUMBER(SEARCH("hemipar",$H164))),"Si déficit MS: privilégier véhicule à boîte automatique + aide au volant/commandes.",""),IF(OR(ISNUMBER(SEARCH("équilibre",$H164)),ISNUMBER(SEARCH("equilibre",$H164)),ISNUMBER(SEARCH("atax",$H164))),"Si instabilité: siège avec soutien latéral / accoudoir.",""),IF(OR(ISNUMBER(SEARCH("hémianops",$J164)),ISNUMBER(SEARCH("hemianops",$J164))),"Si champ visuel limité: dispositifs de vision angle mort (si compatible) + avis spécialisé.",""))</f>
        <v/>
      </c>
    </row>
    <row r="165">
      <c r="T165" s="2">
        <f>IF($E165="&lt; 6 mois","FIN_A",IF($G165="Oui","FIN_A",IF($I165="Oui",IFERROR(IF(OR(ISNUMBER(SEARCH("hémianops",$J165)),ISNUMBER(SEARCH("hemianops",$J165)),ISNUMBER(SEARCH("quadranops",$J165)),ISNUMBER(SEARCH("diplop",$J165)),ISNUMBER(SEARCH("nystag",$J165)),ISNUMBER(SEARCH("saccad",$J165))),"FIN_A","FIN_E"),"FIN_E"),IF($K165="Oui","FIN_C",IF($M165="Oui","FIN_A",IF($N165="Oui","FIN_A",IF($O165="Oui","FIN_A",IF($P165="Oui","FIN_A",IF($Q165="Oui","FIN_D",IF($R165="Non","FIN_E",IF($S165="Oui","FIN_A","FIN_D"))))))))))))</f>
        <v/>
      </c>
      <c r="X165" s="2">
        <f>TEXTJOIN(", ",TRUE,IF($I165="Oui",IF(ISNUMBER(SEARCH("lent",$J165)),"01.02",IF(ISNUMBER(SEARCH("lunett",$J165)),"01.01","01.06")),""),IF(OR(ISNUMBER(SEARCH("diplop",$J165)),ISNUMBER(SEARCH("couvre",$J165)),ISNUMBER(SEARCH("occlus",$J165))),"01.05",""),IF(OR(ISNUMBER(SEARCH("main droite",$H165)),ISNUMBER(SEARCH("faiblesse droite",$H165)),ISNUMBER(SEARCH("hémipar",$H165)),ISNUMBER(SEARCH("hemipar",$H165))),"78",""),IF(OR(ISNUMBER(SEARCH("main",$H165)),ISNUMBER(SEARCH("membre supérieur",$H165)),ISNUMBER(SEARCH("membre superieur",$H165))),"03.01",""),IF(OR(ISNUMBER(SEARCH("équilibre",$H165)),ISNUMBER(SEARCH("equilibre",$H165)),ISNUMBER(SEARCH("atax",$H165))),"43.03",""),IF(OR(ISNUMBER(SEARCH("champ visuel",$J165)),ISNUMBER(SEARCH("hémianops",$J165)),ISNUMBER(SEARCH("hemianops",$J165))),"42.05",""),IF(OR(ISNUMBER(SEARCH("faiblesse",$H165)),ISNUMBER(SEARCH("spastic",$H165))),"40.11",""),IF(OR(ISNUMBER(SEARCH("faiblesse",$H165)),ISNUMBER(SEARCH("spastic",$H165))),"35.02",""))</f>
        <v/>
      </c>
      <c r="Y165" s="2">
        <f>TEXTJOIN(" | ",TRUE,IF($I165="Oui","Vision: correction (lunettes/lentilles) selon bilan ophtalmo.",""),IF(OR(ISNUMBER(SEARCH("diplop",$J165)),ISNUMBER(SEARCH("occlus",$J165))),"Si diplopie: prisme/occlusion/couvre-œil si indiqué + avis oph.",""),IF(OR(ISNUMBER(SEARCH("main droite",$H165)),ISNUMBER(SEARCH("hémipar",$H165)),ISNUMBER(SEARCH("hemipar",$H165))),"Si déficit MS: privilégier véhicule à boîte automatique + aide au volant/commandes.",""),IF(OR(ISNUMBER(SEARCH("équilibre",$H165)),ISNUMBER(SEARCH("equilibre",$H165)),ISNUMBER(SEARCH("atax",$H165))),"Si instabilité: siège avec soutien latéral / accoudoir.",""),IF(OR(ISNUMBER(SEARCH("hémianops",$J165)),ISNUMBER(SEARCH("hemianops",$J165))),"Si champ visuel limité: dispositifs de vision angle mort (si compatible) + avis spécialisé.",""))</f>
        <v/>
      </c>
    </row>
    <row r="166">
      <c r="T166" s="2">
        <f>IF($E166="&lt; 6 mois","FIN_A",IF($G166="Oui","FIN_A",IF($I166="Oui",IFERROR(IF(OR(ISNUMBER(SEARCH("hémianops",$J166)),ISNUMBER(SEARCH("hemianops",$J166)),ISNUMBER(SEARCH("quadranops",$J166)),ISNUMBER(SEARCH("diplop",$J166)),ISNUMBER(SEARCH("nystag",$J166)),ISNUMBER(SEARCH("saccad",$J166))),"FIN_A","FIN_E"),"FIN_E"),IF($K166="Oui","FIN_C",IF($M166="Oui","FIN_A",IF($N166="Oui","FIN_A",IF($O166="Oui","FIN_A",IF($P166="Oui","FIN_A",IF($Q166="Oui","FIN_D",IF($R166="Non","FIN_E",IF($S166="Oui","FIN_A","FIN_D"))))))))))))</f>
        <v/>
      </c>
      <c r="X166" s="2">
        <f>TEXTJOIN(", ",TRUE,IF($I166="Oui",IF(ISNUMBER(SEARCH("lent",$J166)),"01.02",IF(ISNUMBER(SEARCH("lunett",$J166)),"01.01","01.06")),""),IF(OR(ISNUMBER(SEARCH("diplop",$J166)),ISNUMBER(SEARCH("couvre",$J166)),ISNUMBER(SEARCH("occlus",$J166))),"01.05",""),IF(OR(ISNUMBER(SEARCH("main droite",$H166)),ISNUMBER(SEARCH("faiblesse droite",$H166)),ISNUMBER(SEARCH("hémipar",$H166)),ISNUMBER(SEARCH("hemipar",$H166))),"78",""),IF(OR(ISNUMBER(SEARCH("main",$H166)),ISNUMBER(SEARCH("membre supérieur",$H166)),ISNUMBER(SEARCH("membre superieur",$H166))),"03.01",""),IF(OR(ISNUMBER(SEARCH("équilibre",$H166)),ISNUMBER(SEARCH("equilibre",$H166)),ISNUMBER(SEARCH("atax",$H166))),"43.03",""),IF(OR(ISNUMBER(SEARCH("champ visuel",$J166)),ISNUMBER(SEARCH("hémianops",$J166)),ISNUMBER(SEARCH("hemianops",$J166))),"42.05",""),IF(OR(ISNUMBER(SEARCH("faiblesse",$H166)),ISNUMBER(SEARCH("spastic",$H166))),"40.11",""),IF(OR(ISNUMBER(SEARCH("faiblesse",$H166)),ISNUMBER(SEARCH("spastic",$H166))),"35.02",""))</f>
        <v/>
      </c>
      <c r="Y166" s="2">
        <f>TEXTJOIN(" | ",TRUE,IF($I166="Oui","Vision: correction (lunettes/lentilles) selon bilan ophtalmo.",""),IF(OR(ISNUMBER(SEARCH("diplop",$J166)),ISNUMBER(SEARCH("occlus",$J166))),"Si diplopie: prisme/occlusion/couvre-œil si indiqué + avis oph.",""),IF(OR(ISNUMBER(SEARCH("main droite",$H166)),ISNUMBER(SEARCH("hémipar",$H166)),ISNUMBER(SEARCH("hemipar",$H166))),"Si déficit MS: privilégier véhicule à boîte automatique + aide au volant/commandes.",""),IF(OR(ISNUMBER(SEARCH("équilibre",$H166)),ISNUMBER(SEARCH("equilibre",$H166)),ISNUMBER(SEARCH("atax",$H166))),"Si instabilité: siège avec soutien latéral / accoudoir.",""),IF(OR(ISNUMBER(SEARCH("hémianops",$J166)),ISNUMBER(SEARCH("hemianops",$J166))),"Si champ visuel limité: dispositifs de vision angle mort (si compatible) + avis spécialisé.",""))</f>
        <v/>
      </c>
    </row>
    <row r="167">
      <c r="T167" s="2">
        <f>IF($E167="&lt; 6 mois","FIN_A",IF($G167="Oui","FIN_A",IF($I167="Oui",IFERROR(IF(OR(ISNUMBER(SEARCH("hémianops",$J167)),ISNUMBER(SEARCH("hemianops",$J167)),ISNUMBER(SEARCH("quadranops",$J167)),ISNUMBER(SEARCH("diplop",$J167)),ISNUMBER(SEARCH("nystag",$J167)),ISNUMBER(SEARCH("saccad",$J167))),"FIN_A","FIN_E"),"FIN_E"),IF($K167="Oui","FIN_C",IF($M167="Oui","FIN_A",IF($N167="Oui","FIN_A",IF($O167="Oui","FIN_A",IF($P167="Oui","FIN_A",IF($Q167="Oui","FIN_D",IF($R167="Non","FIN_E",IF($S167="Oui","FIN_A","FIN_D"))))))))))))</f>
        <v/>
      </c>
      <c r="X167" s="2">
        <f>TEXTJOIN(", ",TRUE,IF($I167="Oui",IF(ISNUMBER(SEARCH("lent",$J167)),"01.02",IF(ISNUMBER(SEARCH("lunett",$J167)),"01.01","01.06")),""),IF(OR(ISNUMBER(SEARCH("diplop",$J167)),ISNUMBER(SEARCH("couvre",$J167)),ISNUMBER(SEARCH("occlus",$J167))),"01.05",""),IF(OR(ISNUMBER(SEARCH("main droite",$H167)),ISNUMBER(SEARCH("faiblesse droite",$H167)),ISNUMBER(SEARCH("hémipar",$H167)),ISNUMBER(SEARCH("hemipar",$H167))),"78",""),IF(OR(ISNUMBER(SEARCH("main",$H167)),ISNUMBER(SEARCH("membre supérieur",$H167)),ISNUMBER(SEARCH("membre superieur",$H167))),"03.01",""),IF(OR(ISNUMBER(SEARCH("équilibre",$H167)),ISNUMBER(SEARCH("equilibre",$H167)),ISNUMBER(SEARCH("atax",$H167))),"43.03",""),IF(OR(ISNUMBER(SEARCH("champ visuel",$J167)),ISNUMBER(SEARCH("hémianops",$J167)),ISNUMBER(SEARCH("hemianops",$J167))),"42.05",""),IF(OR(ISNUMBER(SEARCH("faiblesse",$H167)),ISNUMBER(SEARCH("spastic",$H167))),"40.11",""),IF(OR(ISNUMBER(SEARCH("faiblesse",$H167)),ISNUMBER(SEARCH("spastic",$H167))),"35.02",""))</f>
        <v/>
      </c>
      <c r="Y167" s="2">
        <f>TEXTJOIN(" | ",TRUE,IF($I167="Oui","Vision: correction (lunettes/lentilles) selon bilan ophtalmo.",""),IF(OR(ISNUMBER(SEARCH("diplop",$J167)),ISNUMBER(SEARCH("occlus",$J167))),"Si diplopie: prisme/occlusion/couvre-œil si indiqué + avis oph.",""),IF(OR(ISNUMBER(SEARCH("main droite",$H167)),ISNUMBER(SEARCH("hémipar",$H167)),ISNUMBER(SEARCH("hemipar",$H167))),"Si déficit MS: privilégier véhicule à boîte automatique + aide au volant/commandes.",""),IF(OR(ISNUMBER(SEARCH("équilibre",$H167)),ISNUMBER(SEARCH("equilibre",$H167)),ISNUMBER(SEARCH("atax",$H167))),"Si instabilité: siège avec soutien latéral / accoudoir.",""),IF(OR(ISNUMBER(SEARCH("hémianops",$J167)),ISNUMBER(SEARCH("hemianops",$J167))),"Si champ visuel limité: dispositifs de vision angle mort (si compatible) + avis spécialisé.",""))</f>
        <v/>
      </c>
    </row>
    <row r="168">
      <c r="T168" s="2">
        <f>IF($E168="&lt; 6 mois","FIN_A",IF($G168="Oui","FIN_A",IF($I168="Oui",IFERROR(IF(OR(ISNUMBER(SEARCH("hémianops",$J168)),ISNUMBER(SEARCH("hemianops",$J168)),ISNUMBER(SEARCH("quadranops",$J168)),ISNUMBER(SEARCH("diplop",$J168)),ISNUMBER(SEARCH("nystag",$J168)),ISNUMBER(SEARCH("saccad",$J168))),"FIN_A","FIN_E"),"FIN_E"),IF($K168="Oui","FIN_C",IF($M168="Oui","FIN_A",IF($N168="Oui","FIN_A",IF($O168="Oui","FIN_A",IF($P168="Oui","FIN_A",IF($Q168="Oui","FIN_D",IF($R168="Non","FIN_E",IF($S168="Oui","FIN_A","FIN_D"))))))))))))</f>
        <v/>
      </c>
      <c r="X168" s="2">
        <f>TEXTJOIN(", ",TRUE,IF($I168="Oui",IF(ISNUMBER(SEARCH("lent",$J168)),"01.02",IF(ISNUMBER(SEARCH("lunett",$J168)),"01.01","01.06")),""),IF(OR(ISNUMBER(SEARCH("diplop",$J168)),ISNUMBER(SEARCH("couvre",$J168)),ISNUMBER(SEARCH("occlus",$J168))),"01.05",""),IF(OR(ISNUMBER(SEARCH("main droite",$H168)),ISNUMBER(SEARCH("faiblesse droite",$H168)),ISNUMBER(SEARCH("hémipar",$H168)),ISNUMBER(SEARCH("hemipar",$H168))),"78",""),IF(OR(ISNUMBER(SEARCH("main",$H168)),ISNUMBER(SEARCH("membre supérieur",$H168)),ISNUMBER(SEARCH("membre superieur",$H168))),"03.01",""),IF(OR(ISNUMBER(SEARCH("équilibre",$H168)),ISNUMBER(SEARCH("equilibre",$H168)),ISNUMBER(SEARCH("atax",$H168))),"43.03",""),IF(OR(ISNUMBER(SEARCH("champ visuel",$J168)),ISNUMBER(SEARCH("hémianops",$J168)),ISNUMBER(SEARCH("hemianops",$J168))),"42.05",""),IF(OR(ISNUMBER(SEARCH("faiblesse",$H168)),ISNUMBER(SEARCH("spastic",$H168))),"40.11",""),IF(OR(ISNUMBER(SEARCH("faiblesse",$H168)),ISNUMBER(SEARCH("spastic",$H168))),"35.02",""))</f>
        <v/>
      </c>
      <c r="Y168" s="2">
        <f>TEXTJOIN(" | ",TRUE,IF($I168="Oui","Vision: correction (lunettes/lentilles) selon bilan ophtalmo.",""),IF(OR(ISNUMBER(SEARCH("diplop",$J168)),ISNUMBER(SEARCH("occlus",$J168))),"Si diplopie: prisme/occlusion/couvre-œil si indiqué + avis oph.",""),IF(OR(ISNUMBER(SEARCH("main droite",$H168)),ISNUMBER(SEARCH("hémipar",$H168)),ISNUMBER(SEARCH("hemipar",$H168))),"Si déficit MS: privilégier véhicule à boîte automatique + aide au volant/commandes.",""),IF(OR(ISNUMBER(SEARCH("équilibre",$H168)),ISNUMBER(SEARCH("equilibre",$H168)),ISNUMBER(SEARCH("atax",$H168))),"Si instabilité: siège avec soutien latéral / accoudoir.",""),IF(OR(ISNUMBER(SEARCH("hémianops",$J168)),ISNUMBER(SEARCH("hemianops",$J168))),"Si champ visuel limité: dispositifs de vision angle mort (si compatible) + avis spécialisé.",""))</f>
        <v/>
      </c>
    </row>
    <row r="169">
      <c r="T169" s="2">
        <f>IF($E169="&lt; 6 mois","FIN_A",IF($G169="Oui","FIN_A",IF($I169="Oui",IFERROR(IF(OR(ISNUMBER(SEARCH("hémianops",$J169)),ISNUMBER(SEARCH("hemianops",$J169)),ISNUMBER(SEARCH("quadranops",$J169)),ISNUMBER(SEARCH("diplop",$J169)),ISNUMBER(SEARCH("nystag",$J169)),ISNUMBER(SEARCH("saccad",$J169))),"FIN_A","FIN_E"),"FIN_E"),IF($K169="Oui","FIN_C",IF($M169="Oui","FIN_A",IF($N169="Oui","FIN_A",IF($O169="Oui","FIN_A",IF($P169="Oui","FIN_A",IF($Q169="Oui","FIN_D",IF($R169="Non","FIN_E",IF($S169="Oui","FIN_A","FIN_D"))))))))))))</f>
        <v/>
      </c>
      <c r="X169" s="2">
        <f>TEXTJOIN(", ",TRUE,IF($I169="Oui",IF(ISNUMBER(SEARCH("lent",$J169)),"01.02",IF(ISNUMBER(SEARCH("lunett",$J169)),"01.01","01.06")),""),IF(OR(ISNUMBER(SEARCH("diplop",$J169)),ISNUMBER(SEARCH("couvre",$J169)),ISNUMBER(SEARCH("occlus",$J169))),"01.05",""),IF(OR(ISNUMBER(SEARCH("main droite",$H169)),ISNUMBER(SEARCH("faiblesse droite",$H169)),ISNUMBER(SEARCH("hémipar",$H169)),ISNUMBER(SEARCH("hemipar",$H169))),"78",""),IF(OR(ISNUMBER(SEARCH("main",$H169)),ISNUMBER(SEARCH("membre supérieur",$H169)),ISNUMBER(SEARCH("membre superieur",$H169))),"03.01",""),IF(OR(ISNUMBER(SEARCH("équilibre",$H169)),ISNUMBER(SEARCH("equilibre",$H169)),ISNUMBER(SEARCH("atax",$H169))),"43.03",""),IF(OR(ISNUMBER(SEARCH("champ visuel",$J169)),ISNUMBER(SEARCH("hémianops",$J169)),ISNUMBER(SEARCH("hemianops",$J169))),"42.05",""),IF(OR(ISNUMBER(SEARCH("faiblesse",$H169)),ISNUMBER(SEARCH("spastic",$H169))),"40.11",""),IF(OR(ISNUMBER(SEARCH("faiblesse",$H169)),ISNUMBER(SEARCH("spastic",$H169))),"35.02",""))</f>
        <v/>
      </c>
      <c r="Y169" s="2">
        <f>TEXTJOIN(" | ",TRUE,IF($I169="Oui","Vision: correction (lunettes/lentilles) selon bilan ophtalmo.",""),IF(OR(ISNUMBER(SEARCH("diplop",$J169)),ISNUMBER(SEARCH("occlus",$J169))),"Si diplopie: prisme/occlusion/couvre-œil si indiqué + avis oph.",""),IF(OR(ISNUMBER(SEARCH("main droite",$H169)),ISNUMBER(SEARCH("hémipar",$H169)),ISNUMBER(SEARCH("hemipar",$H169))),"Si déficit MS: privilégier véhicule à boîte automatique + aide au volant/commandes.",""),IF(OR(ISNUMBER(SEARCH("équilibre",$H169)),ISNUMBER(SEARCH("equilibre",$H169)),ISNUMBER(SEARCH("atax",$H169))),"Si instabilité: siège avec soutien latéral / accoudoir.",""),IF(OR(ISNUMBER(SEARCH("hémianops",$J169)),ISNUMBER(SEARCH("hemianops",$J169))),"Si champ visuel limité: dispositifs de vision angle mort (si compatible) + avis spécialisé.",""))</f>
        <v/>
      </c>
    </row>
    <row r="170">
      <c r="T170" s="2">
        <f>IF($E170="&lt; 6 mois","FIN_A",IF($G170="Oui","FIN_A",IF($I170="Oui",IFERROR(IF(OR(ISNUMBER(SEARCH("hémianops",$J170)),ISNUMBER(SEARCH("hemianops",$J170)),ISNUMBER(SEARCH("quadranops",$J170)),ISNUMBER(SEARCH("diplop",$J170)),ISNUMBER(SEARCH("nystag",$J170)),ISNUMBER(SEARCH("saccad",$J170))),"FIN_A","FIN_E"),"FIN_E"),IF($K170="Oui","FIN_C",IF($M170="Oui","FIN_A",IF($N170="Oui","FIN_A",IF($O170="Oui","FIN_A",IF($P170="Oui","FIN_A",IF($Q170="Oui","FIN_D",IF($R170="Non","FIN_E",IF($S170="Oui","FIN_A","FIN_D"))))))))))))</f>
        <v/>
      </c>
      <c r="X170" s="2">
        <f>TEXTJOIN(", ",TRUE,IF($I170="Oui",IF(ISNUMBER(SEARCH("lent",$J170)),"01.02",IF(ISNUMBER(SEARCH("lunett",$J170)),"01.01","01.06")),""),IF(OR(ISNUMBER(SEARCH("diplop",$J170)),ISNUMBER(SEARCH("couvre",$J170)),ISNUMBER(SEARCH("occlus",$J170))),"01.05",""),IF(OR(ISNUMBER(SEARCH("main droite",$H170)),ISNUMBER(SEARCH("faiblesse droite",$H170)),ISNUMBER(SEARCH("hémipar",$H170)),ISNUMBER(SEARCH("hemipar",$H170))),"78",""),IF(OR(ISNUMBER(SEARCH("main",$H170)),ISNUMBER(SEARCH("membre supérieur",$H170)),ISNUMBER(SEARCH("membre superieur",$H170))),"03.01",""),IF(OR(ISNUMBER(SEARCH("équilibre",$H170)),ISNUMBER(SEARCH("equilibre",$H170)),ISNUMBER(SEARCH("atax",$H170))),"43.03",""),IF(OR(ISNUMBER(SEARCH("champ visuel",$J170)),ISNUMBER(SEARCH("hémianops",$J170)),ISNUMBER(SEARCH("hemianops",$J170))),"42.05",""),IF(OR(ISNUMBER(SEARCH("faiblesse",$H170)),ISNUMBER(SEARCH("spastic",$H170))),"40.11",""),IF(OR(ISNUMBER(SEARCH("faiblesse",$H170)),ISNUMBER(SEARCH("spastic",$H170))),"35.02",""))</f>
        <v/>
      </c>
      <c r="Y170" s="2">
        <f>TEXTJOIN(" | ",TRUE,IF($I170="Oui","Vision: correction (lunettes/lentilles) selon bilan ophtalmo.",""),IF(OR(ISNUMBER(SEARCH("diplop",$J170)),ISNUMBER(SEARCH("occlus",$J170))),"Si diplopie: prisme/occlusion/couvre-œil si indiqué + avis oph.",""),IF(OR(ISNUMBER(SEARCH("main droite",$H170)),ISNUMBER(SEARCH("hémipar",$H170)),ISNUMBER(SEARCH("hemipar",$H170))),"Si déficit MS: privilégier véhicule à boîte automatique + aide au volant/commandes.",""),IF(OR(ISNUMBER(SEARCH("équilibre",$H170)),ISNUMBER(SEARCH("equilibre",$H170)),ISNUMBER(SEARCH("atax",$H170))),"Si instabilité: siège avec soutien latéral / accoudoir.",""),IF(OR(ISNUMBER(SEARCH("hémianops",$J170)),ISNUMBER(SEARCH("hemianops",$J170))),"Si champ visuel limité: dispositifs de vision angle mort (si compatible) + avis spécialisé.",""))</f>
        <v/>
      </c>
    </row>
    <row r="171">
      <c r="T171" s="2">
        <f>IF($E171="&lt; 6 mois","FIN_A",IF($G171="Oui","FIN_A",IF($I171="Oui",IFERROR(IF(OR(ISNUMBER(SEARCH("hémianops",$J171)),ISNUMBER(SEARCH("hemianops",$J171)),ISNUMBER(SEARCH("quadranops",$J171)),ISNUMBER(SEARCH("diplop",$J171)),ISNUMBER(SEARCH("nystag",$J171)),ISNUMBER(SEARCH("saccad",$J171))),"FIN_A","FIN_E"),"FIN_E"),IF($K171="Oui","FIN_C",IF($M171="Oui","FIN_A",IF($N171="Oui","FIN_A",IF($O171="Oui","FIN_A",IF($P171="Oui","FIN_A",IF($Q171="Oui","FIN_D",IF($R171="Non","FIN_E",IF($S171="Oui","FIN_A","FIN_D"))))))))))))</f>
        <v/>
      </c>
      <c r="X171" s="2">
        <f>TEXTJOIN(", ",TRUE,IF($I171="Oui",IF(ISNUMBER(SEARCH("lent",$J171)),"01.02",IF(ISNUMBER(SEARCH("lunett",$J171)),"01.01","01.06")),""),IF(OR(ISNUMBER(SEARCH("diplop",$J171)),ISNUMBER(SEARCH("couvre",$J171)),ISNUMBER(SEARCH("occlus",$J171))),"01.05",""),IF(OR(ISNUMBER(SEARCH("main droite",$H171)),ISNUMBER(SEARCH("faiblesse droite",$H171)),ISNUMBER(SEARCH("hémipar",$H171)),ISNUMBER(SEARCH("hemipar",$H171))),"78",""),IF(OR(ISNUMBER(SEARCH("main",$H171)),ISNUMBER(SEARCH("membre supérieur",$H171)),ISNUMBER(SEARCH("membre superieur",$H171))),"03.01",""),IF(OR(ISNUMBER(SEARCH("équilibre",$H171)),ISNUMBER(SEARCH("equilibre",$H171)),ISNUMBER(SEARCH("atax",$H171))),"43.03",""),IF(OR(ISNUMBER(SEARCH("champ visuel",$J171)),ISNUMBER(SEARCH("hémianops",$J171)),ISNUMBER(SEARCH("hemianops",$J171))),"42.05",""),IF(OR(ISNUMBER(SEARCH("faiblesse",$H171)),ISNUMBER(SEARCH("spastic",$H171))),"40.11",""),IF(OR(ISNUMBER(SEARCH("faiblesse",$H171)),ISNUMBER(SEARCH("spastic",$H171))),"35.02",""))</f>
        <v/>
      </c>
      <c r="Y171" s="2">
        <f>TEXTJOIN(" | ",TRUE,IF($I171="Oui","Vision: correction (lunettes/lentilles) selon bilan ophtalmo.",""),IF(OR(ISNUMBER(SEARCH("diplop",$J171)),ISNUMBER(SEARCH("occlus",$J171))),"Si diplopie: prisme/occlusion/couvre-œil si indiqué + avis oph.",""),IF(OR(ISNUMBER(SEARCH("main droite",$H171)),ISNUMBER(SEARCH("hémipar",$H171)),ISNUMBER(SEARCH("hemipar",$H171))),"Si déficit MS: privilégier véhicule à boîte automatique + aide au volant/commandes.",""),IF(OR(ISNUMBER(SEARCH("équilibre",$H171)),ISNUMBER(SEARCH("equilibre",$H171)),ISNUMBER(SEARCH("atax",$H171))),"Si instabilité: siège avec soutien latéral / accoudoir.",""),IF(OR(ISNUMBER(SEARCH("hémianops",$J171)),ISNUMBER(SEARCH("hemianops",$J171))),"Si champ visuel limité: dispositifs de vision angle mort (si compatible) + avis spécialisé.",""))</f>
        <v/>
      </c>
    </row>
    <row r="172">
      <c r="T172" s="2">
        <f>IF($E172="&lt; 6 mois","FIN_A",IF($G172="Oui","FIN_A",IF($I172="Oui",IFERROR(IF(OR(ISNUMBER(SEARCH("hémianops",$J172)),ISNUMBER(SEARCH("hemianops",$J172)),ISNUMBER(SEARCH("quadranops",$J172)),ISNUMBER(SEARCH("diplop",$J172)),ISNUMBER(SEARCH("nystag",$J172)),ISNUMBER(SEARCH("saccad",$J172))),"FIN_A","FIN_E"),"FIN_E"),IF($K172="Oui","FIN_C",IF($M172="Oui","FIN_A",IF($N172="Oui","FIN_A",IF($O172="Oui","FIN_A",IF($P172="Oui","FIN_A",IF($Q172="Oui","FIN_D",IF($R172="Non","FIN_E",IF($S172="Oui","FIN_A","FIN_D"))))))))))))</f>
        <v/>
      </c>
      <c r="X172" s="2">
        <f>TEXTJOIN(", ",TRUE,IF($I172="Oui",IF(ISNUMBER(SEARCH("lent",$J172)),"01.02",IF(ISNUMBER(SEARCH("lunett",$J172)),"01.01","01.06")),""),IF(OR(ISNUMBER(SEARCH("diplop",$J172)),ISNUMBER(SEARCH("couvre",$J172)),ISNUMBER(SEARCH("occlus",$J172))),"01.05",""),IF(OR(ISNUMBER(SEARCH("main droite",$H172)),ISNUMBER(SEARCH("faiblesse droite",$H172)),ISNUMBER(SEARCH("hémipar",$H172)),ISNUMBER(SEARCH("hemipar",$H172))),"78",""),IF(OR(ISNUMBER(SEARCH("main",$H172)),ISNUMBER(SEARCH("membre supérieur",$H172)),ISNUMBER(SEARCH("membre superieur",$H172))),"03.01",""),IF(OR(ISNUMBER(SEARCH("équilibre",$H172)),ISNUMBER(SEARCH("equilibre",$H172)),ISNUMBER(SEARCH("atax",$H172))),"43.03",""),IF(OR(ISNUMBER(SEARCH("champ visuel",$J172)),ISNUMBER(SEARCH("hémianops",$J172)),ISNUMBER(SEARCH("hemianops",$J172))),"42.05",""),IF(OR(ISNUMBER(SEARCH("faiblesse",$H172)),ISNUMBER(SEARCH("spastic",$H172))),"40.11",""),IF(OR(ISNUMBER(SEARCH("faiblesse",$H172)),ISNUMBER(SEARCH("spastic",$H172))),"35.02",""))</f>
        <v/>
      </c>
      <c r="Y172" s="2">
        <f>TEXTJOIN(" | ",TRUE,IF($I172="Oui","Vision: correction (lunettes/lentilles) selon bilan ophtalmo.",""),IF(OR(ISNUMBER(SEARCH("diplop",$J172)),ISNUMBER(SEARCH("occlus",$J172))),"Si diplopie: prisme/occlusion/couvre-œil si indiqué + avis oph.",""),IF(OR(ISNUMBER(SEARCH("main droite",$H172)),ISNUMBER(SEARCH("hémipar",$H172)),ISNUMBER(SEARCH("hemipar",$H172))),"Si déficit MS: privilégier véhicule à boîte automatique + aide au volant/commandes.",""),IF(OR(ISNUMBER(SEARCH("équilibre",$H172)),ISNUMBER(SEARCH("equilibre",$H172)),ISNUMBER(SEARCH("atax",$H172))),"Si instabilité: siège avec soutien latéral / accoudoir.",""),IF(OR(ISNUMBER(SEARCH("hémianops",$J172)),ISNUMBER(SEARCH("hemianops",$J172))),"Si champ visuel limité: dispositifs de vision angle mort (si compatible) + avis spécialisé.",""))</f>
        <v/>
      </c>
    </row>
    <row r="173">
      <c r="T173" s="2">
        <f>IF($E173="&lt; 6 mois","FIN_A",IF($G173="Oui","FIN_A",IF($I173="Oui",IFERROR(IF(OR(ISNUMBER(SEARCH("hémianops",$J173)),ISNUMBER(SEARCH("hemianops",$J173)),ISNUMBER(SEARCH("quadranops",$J173)),ISNUMBER(SEARCH("diplop",$J173)),ISNUMBER(SEARCH("nystag",$J173)),ISNUMBER(SEARCH("saccad",$J173))),"FIN_A","FIN_E"),"FIN_E"),IF($K173="Oui","FIN_C",IF($M173="Oui","FIN_A",IF($N173="Oui","FIN_A",IF($O173="Oui","FIN_A",IF($P173="Oui","FIN_A",IF($Q173="Oui","FIN_D",IF($R173="Non","FIN_E",IF($S173="Oui","FIN_A","FIN_D"))))))))))))</f>
        <v/>
      </c>
      <c r="X173" s="2">
        <f>TEXTJOIN(", ",TRUE,IF($I173="Oui",IF(ISNUMBER(SEARCH("lent",$J173)),"01.02",IF(ISNUMBER(SEARCH("lunett",$J173)),"01.01","01.06")),""),IF(OR(ISNUMBER(SEARCH("diplop",$J173)),ISNUMBER(SEARCH("couvre",$J173)),ISNUMBER(SEARCH("occlus",$J173))),"01.05",""),IF(OR(ISNUMBER(SEARCH("main droite",$H173)),ISNUMBER(SEARCH("faiblesse droite",$H173)),ISNUMBER(SEARCH("hémipar",$H173)),ISNUMBER(SEARCH("hemipar",$H173))),"78",""),IF(OR(ISNUMBER(SEARCH("main",$H173)),ISNUMBER(SEARCH("membre supérieur",$H173)),ISNUMBER(SEARCH("membre superieur",$H173))),"03.01",""),IF(OR(ISNUMBER(SEARCH("équilibre",$H173)),ISNUMBER(SEARCH("equilibre",$H173)),ISNUMBER(SEARCH("atax",$H173))),"43.03",""),IF(OR(ISNUMBER(SEARCH("champ visuel",$J173)),ISNUMBER(SEARCH("hémianops",$J173)),ISNUMBER(SEARCH("hemianops",$J173))),"42.05",""),IF(OR(ISNUMBER(SEARCH("faiblesse",$H173)),ISNUMBER(SEARCH("spastic",$H173))),"40.11",""),IF(OR(ISNUMBER(SEARCH("faiblesse",$H173)),ISNUMBER(SEARCH("spastic",$H173))),"35.02",""))</f>
        <v/>
      </c>
      <c r="Y173" s="2">
        <f>TEXTJOIN(" | ",TRUE,IF($I173="Oui","Vision: correction (lunettes/lentilles) selon bilan ophtalmo.",""),IF(OR(ISNUMBER(SEARCH("diplop",$J173)),ISNUMBER(SEARCH("occlus",$J173))),"Si diplopie: prisme/occlusion/couvre-œil si indiqué + avis oph.",""),IF(OR(ISNUMBER(SEARCH("main droite",$H173)),ISNUMBER(SEARCH("hémipar",$H173)),ISNUMBER(SEARCH("hemipar",$H173))),"Si déficit MS: privilégier véhicule à boîte automatique + aide au volant/commandes.",""),IF(OR(ISNUMBER(SEARCH("équilibre",$H173)),ISNUMBER(SEARCH("equilibre",$H173)),ISNUMBER(SEARCH("atax",$H173))),"Si instabilité: siège avec soutien latéral / accoudoir.",""),IF(OR(ISNUMBER(SEARCH("hémianops",$J173)),ISNUMBER(SEARCH("hemianops",$J173))),"Si champ visuel limité: dispositifs de vision angle mort (si compatible) + avis spécialisé.",""))</f>
        <v/>
      </c>
    </row>
    <row r="174">
      <c r="T174" s="2">
        <f>IF($E174="&lt; 6 mois","FIN_A",IF($G174="Oui","FIN_A",IF($I174="Oui",IFERROR(IF(OR(ISNUMBER(SEARCH("hémianops",$J174)),ISNUMBER(SEARCH("hemianops",$J174)),ISNUMBER(SEARCH("quadranops",$J174)),ISNUMBER(SEARCH("diplop",$J174)),ISNUMBER(SEARCH("nystag",$J174)),ISNUMBER(SEARCH("saccad",$J174))),"FIN_A","FIN_E"),"FIN_E"),IF($K174="Oui","FIN_C",IF($M174="Oui","FIN_A",IF($N174="Oui","FIN_A",IF($O174="Oui","FIN_A",IF($P174="Oui","FIN_A",IF($Q174="Oui","FIN_D",IF($R174="Non","FIN_E",IF($S174="Oui","FIN_A","FIN_D"))))))))))))</f>
        <v/>
      </c>
      <c r="X174" s="2">
        <f>TEXTJOIN(", ",TRUE,IF($I174="Oui",IF(ISNUMBER(SEARCH("lent",$J174)),"01.02",IF(ISNUMBER(SEARCH("lunett",$J174)),"01.01","01.06")),""),IF(OR(ISNUMBER(SEARCH("diplop",$J174)),ISNUMBER(SEARCH("couvre",$J174)),ISNUMBER(SEARCH("occlus",$J174))),"01.05",""),IF(OR(ISNUMBER(SEARCH("main droite",$H174)),ISNUMBER(SEARCH("faiblesse droite",$H174)),ISNUMBER(SEARCH("hémipar",$H174)),ISNUMBER(SEARCH("hemipar",$H174))),"78",""),IF(OR(ISNUMBER(SEARCH("main",$H174)),ISNUMBER(SEARCH("membre supérieur",$H174)),ISNUMBER(SEARCH("membre superieur",$H174))),"03.01",""),IF(OR(ISNUMBER(SEARCH("équilibre",$H174)),ISNUMBER(SEARCH("equilibre",$H174)),ISNUMBER(SEARCH("atax",$H174))),"43.03",""),IF(OR(ISNUMBER(SEARCH("champ visuel",$J174)),ISNUMBER(SEARCH("hémianops",$J174)),ISNUMBER(SEARCH("hemianops",$J174))),"42.05",""),IF(OR(ISNUMBER(SEARCH("faiblesse",$H174)),ISNUMBER(SEARCH("spastic",$H174))),"40.11",""),IF(OR(ISNUMBER(SEARCH("faiblesse",$H174)),ISNUMBER(SEARCH("spastic",$H174))),"35.02",""))</f>
        <v/>
      </c>
      <c r="Y174" s="2">
        <f>TEXTJOIN(" | ",TRUE,IF($I174="Oui","Vision: correction (lunettes/lentilles) selon bilan ophtalmo.",""),IF(OR(ISNUMBER(SEARCH("diplop",$J174)),ISNUMBER(SEARCH("occlus",$J174))),"Si diplopie: prisme/occlusion/couvre-œil si indiqué + avis oph.",""),IF(OR(ISNUMBER(SEARCH("main droite",$H174)),ISNUMBER(SEARCH("hémipar",$H174)),ISNUMBER(SEARCH("hemipar",$H174))),"Si déficit MS: privilégier véhicule à boîte automatique + aide au volant/commandes.",""),IF(OR(ISNUMBER(SEARCH("équilibre",$H174)),ISNUMBER(SEARCH("equilibre",$H174)),ISNUMBER(SEARCH("atax",$H174))),"Si instabilité: siège avec soutien latéral / accoudoir.",""),IF(OR(ISNUMBER(SEARCH("hémianops",$J174)),ISNUMBER(SEARCH("hemianops",$J174))),"Si champ visuel limité: dispositifs de vision angle mort (si compatible) + avis spécialisé.",""))</f>
        <v/>
      </c>
    </row>
    <row r="175">
      <c r="T175" s="2">
        <f>IF($E175="&lt; 6 mois","FIN_A",IF($G175="Oui","FIN_A",IF($I175="Oui",IFERROR(IF(OR(ISNUMBER(SEARCH("hémianops",$J175)),ISNUMBER(SEARCH("hemianops",$J175)),ISNUMBER(SEARCH("quadranops",$J175)),ISNUMBER(SEARCH("diplop",$J175)),ISNUMBER(SEARCH("nystag",$J175)),ISNUMBER(SEARCH("saccad",$J175))),"FIN_A","FIN_E"),"FIN_E"),IF($K175="Oui","FIN_C",IF($M175="Oui","FIN_A",IF($N175="Oui","FIN_A",IF($O175="Oui","FIN_A",IF($P175="Oui","FIN_A",IF($Q175="Oui","FIN_D",IF($R175="Non","FIN_E",IF($S175="Oui","FIN_A","FIN_D"))))))))))))</f>
        <v/>
      </c>
      <c r="X175" s="2">
        <f>TEXTJOIN(", ",TRUE,IF($I175="Oui",IF(ISNUMBER(SEARCH("lent",$J175)),"01.02",IF(ISNUMBER(SEARCH("lunett",$J175)),"01.01","01.06")),""),IF(OR(ISNUMBER(SEARCH("diplop",$J175)),ISNUMBER(SEARCH("couvre",$J175)),ISNUMBER(SEARCH("occlus",$J175))),"01.05",""),IF(OR(ISNUMBER(SEARCH("main droite",$H175)),ISNUMBER(SEARCH("faiblesse droite",$H175)),ISNUMBER(SEARCH("hémipar",$H175)),ISNUMBER(SEARCH("hemipar",$H175))),"78",""),IF(OR(ISNUMBER(SEARCH("main",$H175)),ISNUMBER(SEARCH("membre supérieur",$H175)),ISNUMBER(SEARCH("membre superieur",$H175))),"03.01",""),IF(OR(ISNUMBER(SEARCH("équilibre",$H175)),ISNUMBER(SEARCH("equilibre",$H175)),ISNUMBER(SEARCH("atax",$H175))),"43.03",""),IF(OR(ISNUMBER(SEARCH("champ visuel",$J175)),ISNUMBER(SEARCH("hémianops",$J175)),ISNUMBER(SEARCH("hemianops",$J175))),"42.05",""),IF(OR(ISNUMBER(SEARCH("faiblesse",$H175)),ISNUMBER(SEARCH("spastic",$H175))),"40.11",""),IF(OR(ISNUMBER(SEARCH("faiblesse",$H175)),ISNUMBER(SEARCH("spastic",$H175))),"35.02",""))</f>
        <v/>
      </c>
      <c r="Y175" s="2">
        <f>TEXTJOIN(" | ",TRUE,IF($I175="Oui","Vision: correction (lunettes/lentilles) selon bilan ophtalmo.",""),IF(OR(ISNUMBER(SEARCH("diplop",$J175)),ISNUMBER(SEARCH("occlus",$J175))),"Si diplopie: prisme/occlusion/couvre-œil si indiqué + avis oph.",""),IF(OR(ISNUMBER(SEARCH("main droite",$H175)),ISNUMBER(SEARCH("hémipar",$H175)),ISNUMBER(SEARCH("hemipar",$H175))),"Si déficit MS: privilégier véhicule à boîte automatique + aide au volant/commandes.",""),IF(OR(ISNUMBER(SEARCH("équilibre",$H175)),ISNUMBER(SEARCH("equilibre",$H175)),ISNUMBER(SEARCH("atax",$H175))),"Si instabilité: siège avec soutien latéral / accoudoir.",""),IF(OR(ISNUMBER(SEARCH("hémianops",$J175)),ISNUMBER(SEARCH("hemianops",$J175))),"Si champ visuel limité: dispositifs de vision angle mort (si compatible) + avis spécialisé.",""))</f>
        <v/>
      </c>
    </row>
    <row r="176">
      <c r="T176" s="2">
        <f>IF($E176="&lt; 6 mois","FIN_A",IF($G176="Oui","FIN_A",IF($I176="Oui",IFERROR(IF(OR(ISNUMBER(SEARCH("hémianops",$J176)),ISNUMBER(SEARCH("hemianops",$J176)),ISNUMBER(SEARCH("quadranops",$J176)),ISNUMBER(SEARCH("diplop",$J176)),ISNUMBER(SEARCH("nystag",$J176)),ISNUMBER(SEARCH("saccad",$J176))),"FIN_A","FIN_E"),"FIN_E"),IF($K176="Oui","FIN_C",IF($M176="Oui","FIN_A",IF($N176="Oui","FIN_A",IF($O176="Oui","FIN_A",IF($P176="Oui","FIN_A",IF($Q176="Oui","FIN_D",IF($R176="Non","FIN_E",IF($S176="Oui","FIN_A","FIN_D"))))))))))))</f>
        <v/>
      </c>
      <c r="X176" s="2">
        <f>TEXTJOIN(", ",TRUE,IF($I176="Oui",IF(ISNUMBER(SEARCH("lent",$J176)),"01.02",IF(ISNUMBER(SEARCH("lunett",$J176)),"01.01","01.06")),""),IF(OR(ISNUMBER(SEARCH("diplop",$J176)),ISNUMBER(SEARCH("couvre",$J176)),ISNUMBER(SEARCH("occlus",$J176))),"01.05",""),IF(OR(ISNUMBER(SEARCH("main droite",$H176)),ISNUMBER(SEARCH("faiblesse droite",$H176)),ISNUMBER(SEARCH("hémipar",$H176)),ISNUMBER(SEARCH("hemipar",$H176))),"78",""),IF(OR(ISNUMBER(SEARCH("main",$H176)),ISNUMBER(SEARCH("membre supérieur",$H176)),ISNUMBER(SEARCH("membre superieur",$H176))),"03.01",""),IF(OR(ISNUMBER(SEARCH("équilibre",$H176)),ISNUMBER(SEARCH("equilibre",$H176)),ISNUMBER(SEARCH("atax",$H176))),"43.03",""),IF(OR(ISNUMBER(SEARCH("champ visuel",$J176)),ISNUMBER(SEARCH("hémianops",$J176)),ISNUMBER(SEARCH("hemianops",$J176))),"42.05",""),IF(OR(ISNUMBER(SEARCH("faiblesse",$H176)),ISNUMBER(SEARCH("spastic",$H176))),"40.11",""),IF(OR(ISNUMBER(SEARCH("faiblesse",$H176)),ISNUMBER(SEARCH("spastic",$H176))),"35.02",""))</f>
        <v/>
      </c>
      <c r="Y176" s="2">
        <f>TEXTJOIN(" | ",TRUE,IF($I176="Oui","Vision: correction (lunettes/lentilles) selon bilan ophtalmo.",""),IF(OR(ISNUMBER(SEARCH("diplop",$J176)),ISNUMBER(SEARCH("occlus",$J176))),"Si diplopie: prisme/occlusion/couvre-œil si indiqué + avis oph.",""),IF(OR(ISNUMBER(SEARCH("main droite",$H176)),ISNUMBER(SEARCH("hémipar",$H176)),ISNUMBER(SEARCH("hemipar",$H176))),"Si déficit MS: privilégier véhicule à boîte automatique + aide au volant/commandes.",""),IF(OR(ISNUMBER(SEARCH("équilibre",$H176)),ISNUMBER(SEARCH("equilibre",$H176)),ISNUMBER(SEARCH("atax",$H176))),"Si instabilité: siège avec soutien latéral / accoudoir.",""),IF(OR(ISNUMBER(SEARCH("hémianops",$J176)),ISNUMBER(SEARCH("hemianops",$J176))),"Si champ visuel limité: dispositifs de vision angle mort (si compatible) + avis spécialisé.",""))</f>
        <v/>
      </c>
    </row>
    <row r="177">
      <c r="T177" s="2">
        <f>IF($E177="&lt; 6 mois","FIN_A",IF($G177="Oui","FIN_A",IF($I177="Oui",IFERROR(IF(OR(ISNUMBER(SEARCH("hémianops",$J177)),ISNUMBER(SEARCH("hemianops",$J177)),ISNUMBER(SEARCH("quadranops",$J177)),ISNUMBER(SEARCH("diplop",$J177)),ISNUMBER(SEARCH("nystag",$J177)),ISNUMBER(SEARCH("saccad",$J177))),"FIN_A","FIN_E"),"FIN_E"),IF($K177="Oui","FIN_C",IF($M177="Oui","FIN_A",IF($N177="Oui","FIN_A",IF($O177="Oui","FIN_A",IF($P177="Oui","FIN_A",IF($Q177="Oui","FIN_D",IF($R177="Non","FIN_E",IF($S177="Oui","FIN_A","FIN_D"))))))))))))</f>
        <v/>
      </c>
      <c r="X177" s="2">
        <f>TEXTJOIN(", ",TRUE,IF($I177="Oui",IF(ISNUMBER(SEARCH("lent",$J177)),"01.02",IF(ISNUMBER(SEARCH("lunett",$J177)),"01.01","01.06")),""),IF(OR(ISNUMBER(SEARCH("diplop",$J177)),ISNUMBER(SEARCH("couvre",$J177)),ISNUMBER(SEARCH("occlus",$J177))),"01.05",""),IF(OR(ISNUMBER(SEARCH("main droite",$H177)),ISNUMBER(SEARCH("faiblesse droite",$H177)),ISNUMBER(SEARCH("hémipar",$H177)),ISNUMBER(SEARCH("hemipar",$H177))),"78",""),IF(OR(ISNUMBER(SEARCH("main",$H177)),ISNUMBER(SEARCH("membre supérieur",$H177)),ISNUMBER(SEARCH("membre superieur",$H177))),"03.01",""),IF(OR(ISNUMBER(SEARCH("équilibre",$H177)),ISNUMBER(SEARCH("equilibre",$H177)),ISNUMBER(SEARCH("atax",$H177))),"43.03",""),IF(OR(ISNUMBER(SEARCH("champ visuel",$J177)),ISNUMBER(SEARCH("hémianops",$J177)),ISNUMBER(SEARCH("hemianops",$J177))),"42.05",""),IF(OR(ISNUMBER(SEARCH("faiblesse",$H177)),ISNUMBER(SEARCH("spastic",$H177))),"40.11",""),IF(OR(ISNUMBER(SEARCH("faiblesse",$H177)),ISNUMBER(SEARCH("spastic",$H177))),"35.02",""))</f>
        <v/>
      </c>
      <c r="Y177" s="2">
        <f>TEXTJOIN(" | ",TRUE,IF($I177="Oui","Vision: correction (lunettes/lentilles) selon bilan ophtalmo.",""),IF(OR(ISNUMBER(SEARCH("diplop",$J177)),ISNUMBER(SEARCH("occlus",$J177))),"Si diplopie: prisme/occlusion/couvre-œil si indiqué + avis oph.",""),IF(OR(ISNUMBER(SEARCH("main droite",$H177)),ISNUMBER(SEARCH("hémipar",$H177)),ISNUMBER(SEARCH("hemipar",$H177))),"Si déficit MS: privilégier véhicule à boîte automatique + aide au volant/commandes.",""),IF(OR(ISNUMBER(SEARCH("équilibre",$H177)),ISNUMBER(SEARCH("equilibre",$H177)),ISNUMBER(SEARCH("atax",$H177))),"Si instabilité: siège avec soutien latéral / accoudoir.",""),IF(OR(ISNUMBER(SEARCH("hémianops",$J177)),ISNUMBER(SEARCH("hemianops",$J177))),"Si champ visuel limité: dispositifs de vision angle mort (si compatible) + avis spécialisé.",""))</f>
        <v/>
      </c>
    </row>
    <row r="178">
      <c r="T178" s="2">
        <f>IF($E178="&lt; 6 mois","FIN_A",IF($G178="Oui","FIN_A",IF($I178="Oui",IFERROR(IF(OR(ISNUMBER(SEARCH("hémianops",$J178)),ISNUMBER(SEARCH("hemianops",$J178)),ISNUMBER(SEARCH("quadranops",$J178)),ISNUMBER(SEARCH("diplop",$J178)),ISNUMBER(SEARCH("nystag",$J178)),ISNUMBER(SEARCH("saccad",$J178))),"FIN_A","FIN_E"),"FIN_E"),IF($K178="Oui","FIN_C",IF($M178="Oui","FIN_A",IF($N178="Oui","FIN_A",IF($O178="Oui","FIN_A",IF($P178="Oui","FIN_A",IF($Q178="Oui","FIN_D",IF($R178="Non","FIN_E",IF($S178="Oui","FIN_A","FIN_D"))))))))))))</f>
        <v/>
      </c>
      <c r="X178" s="2">
        <f>TEXTJOIN(", ",TRUE,IF($I178="Oui",IF(ISNUMBER(SEARCH("lent",$J178)),"01.02",IF(ISNUMBER(SEARCH("lunett",$J178)),"01.01","01.06")),""),IF(OR(ISNUMBER(SEARCH("diplop",$J178)),ISNUMBER(SEARCH("couvre",$J178)),ISNUMBER(SEARCH("occlus",$J178))),"01.05",""),IF(OR(ISNUMBER(SEARCH("main droite",$H178)),ISNUMBER(SEARCH("faiblesse droite",$H178)),ISNUMBER(SEARCH("hémipar",$H178)),ISNUMBER(SEARCH("hemipar",$H178))),"78",""),IF(OR(ISNUMBER(SEARCH("main",$H178)),ISNUMBER(SEARCH("membre supérieur",$H178)),ISNUMBER(SEARCH("membre superieur",$H178))),"03.01",""),IF(OR(ISNUMBER(SEARCH("équilibre",$H178)),ISNUMBER(SEARCH("equilibre",$H178)),ISNUMBER(SEARCH("atax",$H178))),"43.03",""),IF(OR(ISNUMBER(SEARCH("champ visuel",$J178)),ISNUMBER(SEARCH("hémianops",$J178)),ISNUMBER(SEARCH("hemianops",$J178))),"42.05",""),IF(OR(ISNUMBER(SEARCH("faiblesse",$H178)),ISNUMBER(SEARCH("spastic",$H178))),"40.11",""),IF(OR(ISNUMBER(SEARCH("faiblesse",$H178)),ISNUMBER(SEARCH("spastic",$H178))),"35.02",""))</f>
        <v/>
      </c>
      <c r="Y178" s="2">
        <f>TEXTJOIN(" | ",TRUE,IF($I178="Oui","Vision: correction (lunettes/lentilles) selon bilan ophtalmo.",""),IF(OR(ISNUMBER(SEARCH("diplop",$J178)),ISNUMBER(SEARCH("occlus",$J178))),"Si diplopie: prisme/occlusion/couvre-œil si indiqué + avis oph.",""),IF(OR(ISNUMBER(SEARCH("main droite",$H178)),ISNUMBER(SEARCH("hémipar",$H178)),ISNUMBER(SEARCH("hemipar",$H178))),"Si déficit MS: privilégier véhicule à boîte automatique + aide au volant/commandes.",""),IF(OR(ISNUMBER(SEARCH("équilibre",$H178)),ISNUMBER(SEARCH("equilibre",$H178)),ISNUMBER(SEARCH("atax",$H178))),"Si instabilité: siège avec soutien latéral / accoudoir.",""),IF(OR(ISNUMBER(SEARCH("hémianops",$J178)),ISNUMBER(SEARCH("hemianops",$J178))),"Si champ visuel limité: dispositifs de vision angle mort (si compatible) + avis spécialisé.",""))</f>
        <v/>
      </c>
    </row>
    <row r="179">
      <c r="T179" s="2">
        <f>IF($E179="&lt; 6 mois","FIN_A",IF($G179="Oui","FIN_A",IF($I179="Oui",IFERROR(IF(OR(ISNUMBER(SEARCH("hémianops",$J179)),ISNUMBER(SEARCH("hemianops",$J179)),ISNUMBER(SEARCH("quadranops",$J179)),ISNUMBER(SEARCH("diplop",$J179)),ISNUMBER(SEARCH("nystag",$J179)),ISNUMBER(SEARCH("saccad",$J179))),"FIN_A","FIN_E"),"FIN_E"),IF($K179="Oui","FIN_C",IF($M179="Oui","FIN_A",IF($N179="Oui","FIN_A",IF($O179="Oui","FIN_A",IF($P179="Oui","FIN_A",IF($Q179="Oui","FIN_D",IF($R179="Non","FIN_E",IF($S179="Oui","FIN_A","FIN_D"))))))))))))</f>
        <v/>
      </c>
      <c r="X179" s="2">
        <f>TEXTJOIN(", ",TRUE,IF($I179="Oui",IF(ISNUMBER(SEARCH("lent",$J179)),"01.02",IF(ISNUMBER(SEARCH("lunett",$J179)),"01.01","01.06")),""),IF(OR(ISNUMBER(SEARCH("diplop",$J179)),ISNUMBER(SEARCH("couvre",$J179)),ISNUMBER(SEARCH("occlus",$J179))),"01.05",""),IF(OR(ISNUMBER(SEARCH("main droite",$H179)),ISNUMBER(SEARCH("faiblesse droite",$H179)),ISNUMBER(SEARCH("hémipar",$H179)),ISNUMBER(SEARCH("hemipar",$H179))),"78",""),IF(OR(ISNUMBER(SEARCH("main",$H179)),ISNUMBER(SEARCH("membre supérieur",$H179)),ISNUMBER(SEARCH("membre superieur",$H179))),"03.01",""),IF(OR(ISNUMBER(SEARCH("équilibre",$H179)),ISNUMBER(SEARCH("equilibre",$H179)),ISNUMBER(SEARCH("atax",$H179))),"43.03",""),IF(OR(ISNUMBER(SEARCH("champ visuel",$J179)),ISNUMBER(SEARCH("hémianops",$J179)),ISNUMBER(SEARCH("hemianops",$J179))),"42.05",""),IF(OR(ISNUMBER(SEARCH("faiblesse",$H179)),ISNUMBER(SEARCH("spastic",$H179))),"40.11",""),IF(OR(ISNUMBER(SEARCH("faiblesse",$H179)),ISNUMBER(SEARCH("spastic",$H179))),"35.02",""))</f>
        <v/>
      </c>
      <c r="Y179" s="2">
        <f>TEXTJOIN(" | ",TRUE,IF($I179="Oui","Vision: correction (lunettes/lentilles) selon bilan ophtalmo.",""),IF(OR(ISNUMBER(SEARCH("diplop",$J179)),ISNUMBER(SEARCH("occlus",$J179))),"Si diplopie: prisme/occlusion/couvre-œil si indiqué + avis oph.",""),IF(OR(ISNUMBER(SEARCH("main droite",$H179)),ISNUMBER(SEARCH("hémipar",$H179)),ISNUMBER(SEARCH("hemipar",$H179))),"Si déficit MS: privilégier véhicule à boîte automatique + aide au volant/commandes.",""),IF(OR(ISNUMBER(SEARCH("équilibre",$H179)),ISNUMBER(SEARCH("equilibre",$H179)),ISNUMBER(SEARCH("atax",$H179))),"Si instabilité: siège avec soutien latéral / accoudoir.",""),IF(OR(ISNUMBER(SEARCH("hémianops",$J179)),ISNUMBER(SEARCH("hemianops",$J179))),"Si champ visuel limité: dispositifs de vision angle mort (si compatible) + avis spécialisé.",""))</f>
        <v/>
      </c>
    </row>
    <row r="180">
      <c r="T180" s="2">
        <f>IF($E180="&lt; 6 mois","FIN_A",IF($G180="Oui","FIN_A",IF($I180="Oui",IFERROR(IF(OR(ISNUMBER(SEARCH("hémianops",$J180)),ISNUMBER(SEARCH("hemianops",$J180)),ISNUMBER(SEARCH("quadranops",$J180)),ISNUMBER(SEARCH("diplop",$J180)),ISNUMBER(SEARCH("nystag",$J180)),ISNUMBER(SEARCH("saccad",$J180))),"FIN_A","FIN_E"),"FIN_E"),IF($K180="Oui","FIN_C",IF($M180="Oui","FIN_A",IF($N180="Oui","FIN_A",IF($O180="Oui","FIN_A",IF($P180="Oui","FIN_A",IF($Q180="Oui","FIN_D",IF($R180="Non","FIN_E",IF($S180="Oui","FIN_A","FIN_D"))))))))))))</f>
        <v/>
      </c>
      <c r="X180" s="2">
        <f>TEXTJOIN(", ",TRUE,IF($I180="Oui",IF(ISNUMBER(SEARCH("lent",$J180)),"01.02",IF(ISNUMBER(SEARCH("lunett",$J180)),"01.01","01.06")),""),IF(OR(ISNUMBER(SEARCH("diplop",$J180)),ISNUMBER(SEARCH("couvre",$J180)),ISNUMBER(SEARCH("occlus",$J180))),"01.05",""),IF(OR(ISNUMBER(SEARCH("main droite",$H180)),ISNUMBER(SEARCH("faiblesse droite",$H180)),ISNUMBER(SEARCH("hémipar",$H180)),ISNUMBER(SEARCH("hemipar",$H180))),"78",""),IF(OR(ISNUMBER(SEARCH("main",$H180)),ISNUMBER(SEARCH("membre supérieur",$H180)),ISNUMBER(SEARCH("membre superieur",$H180))),"03.01",""),IF(OR(ISNUMBER(SEARCH("équilibre",$H180)),ISNUMBER(SEARCH("equilibre",$H180)),ISNUMBER(SEARCH("atax",$H180))),"43.03",""),IF(OR(ISNUMBER(SEARCH("champ visuel",$J180)),ISNUMBER(SEARCH("hémianops",$J180)),ISNUMBER(SEARCH("hemianops",$J180))),"42.05",""),IF(OR(ISNUMBER(SEARCH("faiblesse",$H180)),ISNUMBER(SEARCH("spastic",$H180))),"40.11",""),IF(OR(ISNUMBER(SEARCH("faiblesse",$H180)),ISNUMBER(SEARCH("spastic",$H180))),"35.02",""))</f>
        <v/>
      </c>
      <c r="Y180" s="2">
        <f>TEXTJOIN(" | ",TRUE,IF($I180="Oui","Vision: correction (lunettes/lentilles) selon bilan ophtalmo.",""),IF(OR(ISNUMBER(SEARCH("diplop",$J180)),ISNUMBER(SEARCH("occlus",$J180))),"Si diplopie: prisme/occlusion/couvre-œil si indiqué + avis oph.",""),IF(OR(ISNUMBER(SEARCH("main droite",$H180)),ISNUMBER(SEARCH("hémipar",$H180)),ISNUMBER(SEARCH("hemipar",$H180))),"Si déficit MS: privilégier véhicule à boîte automatique + aide au volant/commandes.",""),IF(OR(ISNUMBER(SEARCH("équilibre",$H180)),ISNUMBER(SEARCH("equilibre",$H180)),ISNUMBER(SEARCH("atax",$H180))),"Si instabilité: siège avec soutien latéral / accoudoir.",""),IF(OR(ISNUMBER(SEARCH("hémianops",$J180)),ISNUMBER(SEARCH("hemianops",$J180))),"Si champ visuel limité: dispositifs de vision angle mort (si compatible) + avis spécialisé.",""))</f>
        <v/>
      </c>
    </row>
    <row r="181">
      <c r="T181" s="2">
        <f>IF($E181="&lt; 6 mois","FIN_A",IF($G181="Oui","FIN_A",IF($I181="Oui",IFERROR(IF(OR(ISNUMBER(SEARCH("hémianops",$J181)),ISNUMBER(SEARCH("hemianops",$J181)),ISNUMBER(SEARCH("quadranops",$J181)),ISNUMBER(SEARCH("diplop",$J181)),ISNUMBER(SEARCH("nystag",$J181)),ISNUMBER(SEARCH("saccad",$J181))),"FIN_A","FIN_E"),"FIN_E"),IF($K181="Oui","FIN_C",IF($M181="Oui","FIN_A",IF($N181="Oui","FIN_A",IF($O181="Oui","FIN_A",IF($P181="Oui","FIN_A",IF($Q181="Oui","FIN_D",IF($R181="Non","FIN_E",IF($S181="Oui","FIN_A","FIN_D"))))))))))))</f>
        <v/>
      </c>
      <c r="X181" s="2">
        <f>TEXTJOIN(", ",TRUE,IF($I181="Oui",IF(ISNUMBER(SEARCH("lent",$J181)),"01.02",IF(ISNUMBER(SEARCH("lunett",$J181)),"01.01","01.06")),""),IF(OR(ISNUMBER(SEARCH("diplop",$J181)),ISNUMBER(SEARCH("couvre",$J181)),ISNUMBER(SEARCH("occlus",$J181))),"01.05",""),IF(OR(ISNUMBER(SEARCH("main droite",$H181)),ISNUMBER(SEARCH("faiblesse droite",$H181)),ISNUMBER(SEARCH("hémipar",$H181)),ISNUMBER(SEARCH("hemipar",$H181))),"78",""),IF(OR(ISNUMBER(SEARCH("main",$H181)),ISNUMBER(SEARCH("membre supérieur",$H181)),ISNUMBER(SEARCH("membre superieur",$H181))),"03.01",""),IF(OR(ISNUMBER(SEARCH("équilibre",$H181)),ISNUMBER(SEARCH("equilibre",$H181)),ISNUMBER(SEARCH("atax",$H181))),"43.03",""),IF(OR(ISNUMBER(SEARCH("champ visuel",$J181)),ISNUMBER(SEARCH("hémianops",$J181)),ISNUMBER(SEARCH("hemianops",$J181))),"42.05",""),IF(OR(ISNUMBER(SEARCH("faiblesse",$H181)),ISNUMBER(SEARCH("spastic",$H181))),"40.11",""),IF(OR(ISNUMBER(SEARCH("faiblesse",$H181)),ISNUMBER(SEARCH("spastic",$H181))),"35.02",""))</f>
        <v/>
      </c>
      <c r="Y181" s="2">
        <f>TEXTJOIN(" | ",TRUE,IF($I181="Oui","Vision: correction (lunettes/lentilles) selon bilan ophtalmo.",""),IF(OR(ISNUMBER(SEARCH("diplop",$J181)),ISNUMBER(SEARCH("occlus",$J181))),"Si diplopie: prisme/occlusion/couvre-œil si indiqué + avis oph.",""),IF(OR(ISNUMBER(SEARCH("main droite",$H181)),ISNUMBER(SEARCH("hémipar",$H181)),ISNUMBER(SEARCH("hemipar",$H181))),"Si déficit MS: privilégier véhicule à boîte automatique + aide au volant/commandes.",""),IF(OR(ISNUMBER(SEARCH("équilibre",$H181)),ISNUMBER(SEARCH("equilibre",$H181)),ISNUMBER(SEARCH("atax",$H181))),"Si instabilité: siège avec soutien latéral / accoudoir.",""),IF(OR(ISNUMBER(SEARCH("hémianops",$J181)),ISNUMBER(SEARCH("hemianops",$J181))),"Si champ visuel limité: dispositifs de vision angle mort (si compatible) + avis spécialisé.",""))</f>
        <v/>
      </c>
    </row>
    <row r="182">
      <c r="T182" s="2">
        <f>IF($E182="&lt; 6 mois","FIN_A",IF($G182="Oui","FIN_A",IF($I182="Oui",IFERROR(IF(OR(ISNUMBER(SEARCH("hémianops",$J182)),ISNUMBER(SEARCH("hemianops",$J182)),ISNUMBER(SEARCH("quadranops",$J182)),ISNUMBER(SEARCH("diplop",$J182)),ISNUMBER(SEARCH("nystag",$J182)),ISNUMBER(SEARCH("saccad",$J182))),"FIN_A","FIN_E"),"FIN_E"),IF($K182="Oui","FIN_C",IF($M182="Oui","FIN_A",IF($N182="Oui","FIN_A",IF($O182="Oui","FIN_A",IF($P182="Oui","FIN_A",IF($Q182="Oui","FIN_D",IF($R182="Non","FIN_E",IF($S182="Oui","FIN_A","FIN_D"))))))))))))</f>
        <v/>
      </c>
      <c r="X182" s="2">
        <f>TEXTJOIN(", ",TRUE,IF($I182="Oui",IF(ISNUMBER(SEARCH("lent",$J182)),"01.02",IF(ISNUMBER(SEARCH("lunett",$J182)),"01.01","01.06")),""),IF(OR(ISNUMBER(SEARCH("diplop",$J182)),ISNUMBER(SEARCH("couvre",$J182)),ISNUMBER(SEARCH("occlus",$J182))),"01.05",""),IF(OR(ISNUMBER(SEARCH("main droite",$H182)),ISNUMBER(SEARCH("faiblesse droite",$H182)),ISNUMBER(SEARCH("hémipar",$H182)),ISNUMBER(SEARCH("hemipar",$H182))),"78",""),IF(OR(ISNUMBER(SEARCH("main",$H182)),ISNUMBER(SEARCH("membre supérieur",$H182)),ISNUMBER(SEARCH("membre superieur",$H182))),"03.01",""),IF(OR(ISNUMBER(SEARCH("équilibre",$H182)),ISNUMBER(SEARCH("equilibre",$H182)),ISNUMBER(SEARCH("atax",$H182))),"43.03",""),IF(OR(ISNUMBER(SEARCH("champ visuel",$J182)),ISNUMBER(SEARCH("hémianops",$J182)),ISNUMBER(SEARCH("hemianops",$J182))),"42.05",""),IF(OR(ISNUMBER(SEARCH("faiblesse",$H182)),ISNUMBER(SEARCH("spastic",$H182))),"40.11",""),IF(OR(ISNUMBER(SEARCH("faiblesse",$H182)),ISNUMBER(SEARCH("spastic",$H182))),"35.02",""))</f>
        <v/>
      </c>
      <c r="Y182" s="2">
        <f>TEXTJOIN(" | ",TRUE,IF($I182="Oui","Vision: correction (lunettes/lentilles) selon bilan ophtalmo.",""),IF(OR(ISNUMBER(SEARCH("diplop",$J182)),ISNUMBER(SEARCH("occlus",$J182))),"Si diplopie: prisme/occlusion/couvre-œil si indiqué + avis oph.",""),IF(OR(ISNUMBER(SEARCH("main droite",$H182)),ISNUMBER(SEARCH("hémipar",$H182)),ISNUMBER(SEARCH("hemipar",$H182))),"Si déficit MS: privilégier véhicule à boîte automatique + aide au volant/commandes.",""),IF(OR(ISNUMBER(SEARCH("équilibre",$H182)),ISNUMBER(SEARCH("equilibre",$H182)),ISNUMBER(SEARCH("atax",$H182))),"Si instabilité: siège avec soutien latéral / accoudoir.",""),IF(OR(ISNUMBER(SEARCH("hémianops",$J182)),ISNUMBER(SEARCH("hemianops",$J182))),"Si champ visuel limité: dispositifs de vision angle mort (si compatible) + avis spécialisé.",""))</f>
        <v/>
      </c>
    </row>
    <row r="183">
      <c r="T183" s="2">
        <f>IF($E183="&lt; 6 mois","FIN_A",IF($G183="Oui","FIN_A",IF($I183="Oui",IFERROR(IF(OR(ISNUMBER(SEARCH("hémianops",$J183)),ISNUMBER(SEARCH("hemianops",$J183)),ISNUMBER(SEARCH("quadranops",$J183)),ISNUMBER(SEARCH("diplop",$J183)),ISNUMBER(SEARCH("nystag",$J183)),ISNUMBER(SEARCH("saccad",$J183))),"FIN_A","FIN_E"),"FIN_E"),IF($K183="Oui","FIN_C",IF($M183="Oui","FIN_A",IF($N183="Oui","FIN_A",IF($O183="Oui","FIN_A",IF($P183="Oui","FIN_A",IF($Q183="Oui","FIN_D",IF($R183="Non","FIN_E",IF($S183="Oui","FIN_A","FIN_D"))))))))))))</f>
        <v/>
      </c>
      <c r="X183" s="2">
        <f>TEXTJOIN(", ",TRUE,IF($I183="Oui",IF(ISNUMBER(SEARCH("lent",$J183)),"01.02",IF(ISNUMBER(SEARCH("lunett",$J183)),"01.01","01.06")),""),IF(OR(ISNUMBER(SEARCH("diplop",$J183)),ISNUMBER(SEARCH("couvre",$J183)),ISNUMBER(SEARCH("occlus",$J183))),"01.05",""),IF(OR(ISNUMBER(SEARCH("main droite",$H183)),ISNUMBER(SEARCH("faiblesse droite",$H183)),ISNUMBER(SEARCH("hémipar",$H183)),ISNUMBER(SEARCH("hemipar",$H183))),"78",""),IF(OR(ISNUMBER(SEARCH("main",$H183)),ISNUMBER(SEARCH("membre supérieur",$H183)),ISNUMBER(SEARCH("membre superieur",$H183))),"03.01",""),IF(OR(ISNUMBER(SEARCH("équilibre",$H183)),ISNUMBER(SEARCH("equilibre",$H183)),ISNUMBER(SEARCH("atax",$H183))),"43.03",""),IF(OR(ISNUMBER(SEARCH("champ visuel",$J183)),ISNUMBER(SEARCH("hémianops",$J183)),ISNUMBER(SEARCH("hemianops",$J183))),"42.05",""),IF(OR(ISNUMBER(SEARCH("faiblesse",$H183)),ISNUMBER(SEARCH("spastic",$H183))),"40.11",""),IF(OR(ISNUMBER(SEARCH("faiblesse",$H183)),ISNUMBER(SEARCH("spastic",$H183))),"35.02",""))</f>
        <v/>
      </c>
      <c r="Y183" s="2">
        <f>TEXTJOIN(" | ",TRUE,IF($I183="Oui","Vision: correction (lunettes/lentilles) selon bilan ophtalmo.",""),IF(OR(ISNUMBER(SEARCH("diplop",$J183)),ISNUMBER(SEARCH("occlus",$J183))),"Si diplopie: prisme/occlusion/couvre-œil si indiqué + avis oph.",""),IF(OR(ISNUMBER(SEARCH("main droite",$H183)),ISNUMBER(SEARCH("hémipar",$H183)),ISNUMBER(SEARCH("hemipar",$H183))),"Si déficit MS: privilégier véhicule à boîte automatique + aide au volant/commandes.",""),IF(OR(ISNUMBER(SEARCH("équilibre",$H183)),ISNUMBER(SEARCH("equilibre",$H183)),ISNUMBER(SEARCH("atax",$H183))),"Si instabilité: siège avec soutien latéral / accoudoir.",""),IF(OR(ISNUMBER(SEARCH("hémianops",$J183)),ISNUMBER(SEARCH("hemianops",$J183))),"Si champ visuel limité: dispositifs de vision angle mort (si compatible) + avis spécialisé.",""))</f>
        <v/>
      </c>
    </row>
    <row r="184">
      <c r="T184" s="2">
        <f>IF($E184="&lt; 6 mois","FIN_A",IF($G184="Oui","FIN_A",IF($I184="Oui",IFERROR(IF(OR(ISNUMBER(SEARCH("hémianops",$J184)),ISNUMBER(SEARCH("hemianops",$J184)),ISNUMBER(SEARCH("quadranops",$J184)),ISNUMBER(SEARCH("diplop",$J184)),ISNUMBER(SEARCH("nystag",$J184)),ISNUMBER(SEARCH("saccad",$J184))),"FIN_A","FIN_E"),"FIN_E"),IF($K184="Oui","FIN_C",IF($M184="Oui","FIN_A",IF($N184="Oui","FIN_A",IF($O184="Oui","FIN_A",IF($P184="Oui","FIN_A",IF($Q184="Oui","FIN_D",IF($R184="Non","FIN_E",IF($S184="Oui","FIN_A","FIN_D"))))))))))))</f>
        <v/>
      </c>
      <c r="X184" s="2">
        <f>TEXTJOIN(", ",TRUE,IF($I184="Oui",IF(ISNUMBER(SEARCH("lent",$J184)),"01.02",IF(ISNUMBER(SEARCH("lunett",$J184)),"01.01","01.06")),""),IF(OR(ISNUMBER(SEARCH("diplop",$J184)),ISNUMBER(SEARCH("couvre",$J184)),ISNUMBER(SEARCH("occlus",$J184))),"01.05",""),IF(OR(ISNUMBER(SEARCH("main droite",$H184)),ISNUMBER(SEARCH("faiblesse droite",$H184)),ISNUMBER(SEARCH("hémipar",$H184)),ISNUMBER(SEARCH("hemipar",$H184))),"78",""),IF(OR(ISNUMBER(SEARCH("main",$H184)),ISNUMBER(SEARCH("membre supérieur",$H184)),ISNUMBER(SEARCH("membre superieur",$H184))),"03.01",""),IF(OR(ISNUMBER(SEARCH("équilibre",$H184)),ISNUMBER(SEARCH("equilibre",$H184)),ISNUMBER(SEARCH("atax",$H184))),"43.03",""),IF(OR(ISNUMBER(SEARCH("champ visuel",$J184)),ISNUMBER(SEARCH("hémianops",$J184)),ISNUMBER(SEARCH("hemianops",$J184))),"42.05",""),IF(OR(ISNUMBER(SEARCH("faiblesse",$H184)),ISNUMBER(SEARCH("spastic",$H184))),"40.11",""),IF(OR(ISNUMBER(SEARCH("faiblesse",$H184)),ISNUMBER(SEARCH("spastic",$H184))),"35.02",""))</f>
        <v/>
      </c>
      <c r="Y184" s="2">
        <f>TEXTJOIN(" | ",TRUE,IF($I184="Oui","Vision: correction (lunettes/lentilles) selon bilan ophtalmo.",""),IF(OR(ISNUMBER(SEARCH("diplop",$J184)),ISNUMBER(SEARCH("occlus",$J184))),"Si diplopie: prisme/occlusion/couvre-œil si indiqué + avis oph.",""),IF(OR(ISNUMBER(SEARCH("main droite",$H184)),ISNUMBER(SEARCH("hémipar",$H184)),ISNUMBER(SEARCH("hemipar",$H184))),"Si déficit MS: privilégier véhicule à boîte automatique + aide au volant/commandes.",""),IF(OR(ISNUMBER(SEARCH("équilibre",$H184)),ISNUMBER(SEARCH("equilibre",$H184)),ISNUMBER(SEARCH("atax",$H184))),"Si instabilité: siège avec soutien latéral / accoudoir.",""),IF(OR(ISNUMBER(SEARCH("hémianops",$J184)),ISNUMBER(SEARCH("hemianops",$J184))),"Si champ visuel limité: dispositifs de vision angle mort (si compatible) + avis spécialisé.",""))</f>
        <v/>
      </c>
    </row>
    <row r="185">
      <c r="T185" s="2">
        <f>IF($E185="&lt; 6 mois","FIN_A",IF($G185="Oui","FIN_A",IF($I185="Oui",IFERROR(IF(OR(ISNUMBER(SEARCH("hémianops",$J185)),ISNUMBER(SEARCH("hemianops",$J185)),ISNUMBER(SEARCH("quadranops",$J185)),ISNUMBER(SEARCH("diplop",$J185)),ISNUMBER(SEARCH("nystag",$J185)),ISNUMBER(SEARCH("saccad",$J185))),"FIN_A","FIN_E"),"FIN_E"),IF($K185="Oui","FIN_C",IF($M185="Oui","FIN_A",IF($N185="Oui","FIN_A",IF($O185="Oui","FIN_A",IF($P185="Oui","FIN_A",IF($Q185="Oui","FIN_D",IF($R185="Non","FIN_E",IF($S185="Oui","FIN_A","FIN_D"))))))))))))</f>
        <v/>
      </c>
      <c r="X185" s="2">
        <f>TEXTJOIN(", ",TRUE,IF($I185="Oui",IF(ISNUMBER(SEARCH("lent",$J185)),"01.02",IF(ISNUMBER(SEARCH("lunett",$J185)),"01.01","01.06")),""),IF(OR(ISNUMBER(SEARCH("diplop",$J185)),ISNUMBER(SEARCH("couvre",$J185)),ISNUMBER(SEARCH("occlus",$J185))),"01.05",""),IF(OR(ISNUMBER(SEARCH("main droite",$H185)),ISNUMBER(SEARCH("faiblesse droite",$H185)),ISNUMBER(SEARCH("hémipar",$H185)),ISNUMBER(SEARCH("hemipar",$H185))),"78",""),IF(OR(ISNUMBER(SEARCH("main",$H185)),ISNUMBER(SEARCH("membre supérieur",$H185)),ISNUMBER(SEARCH("membre superieur",$H185))),"03.01",""),IF(OR(ISNUMBER(SEARCH("équilibre",$H185)),ISNUMBER(SEARCH("equilibre",$H185)),ISNUMBER(SEARCH("atax",$H185))),"43.03",""),IF(OR(ISNUMBER(SEARCH("champ visuel",$J185)),ISNUMBER(SEARCH("hémianops",$J185)),ISNUMBER(SEARCH("hemianops",$J185))),"42.05",""),IF(OR(ISNUMBER(SEARCH("faiblesse",$H185)),ISNUMBER(SEARCH("spastic",$H185))),"40.11",""),IF(OR(ISNUMBER(SEARCH("faiblesse",$H185)),ISNUMBER(SEARCH("spastic",$H185))),"35.02",""))</f>
        <v/>
      </c>
      <c r="Y185" s="2">
        <f>TEXTJOIN(" | ",TRUE,IF($I185="Oui","Vision: correction (lunettes/lentilles) selon bilan ophtalmo.",""),IF(OR(ISNUMBER(SEARCH("diplop",$J185)),ISNUMBER(SEARCH("occlus",$J185))),"Si diplopie: prisme/occlusion/couvre-œil si indiqué + avis oph.",""),IF(OR(ISNUMBER(SEARCH("main droite",$H185)),ISNUMBER(SEARCH("hémipar",$H185)),ISNUMBER(SEARCH("hemipar",$H185))),"Si déficit MS: privilégier véhicule à boîte automatique + aide au volant/commandes.",""),IF(OR(ISNUMBER(SEARCH("équilibre",$H185)),ISNUMBER(SEARCH("equilibre",$H185)),ISNUMBER(SEARCH("atax",$H185))),"Si instabilité: siège avec soutien latéral / accoudoir.",""),IF(OR(ISNUMBER(SEARCH("hémianops",$J185)),ISNUMBER(SEARCH("hemianops",$J185))),"Si champ visuel limité: dispositifs de vision angle mort (si compatible) + avis spécialisé.",""))</f>
        <v/>
      </c>
    </row>
    <row r="186">
      <c r="T186" s="2">
        <f>IF($E186="&lt; 6 mois","FIN_A",IF($G186="Oui","FIN_A",IF($I186="Oui",IFERROR(IF(OR(ISNUMBER(SEARCH("hémianops",$J186)),ISNUMBER(SEARCH("hemianops",$J186)),ISNUMBER(SEARCH("quadranops",$J186)),ISNUMBER(SEARCH("diplop",$J186)),ISNUMBER(SEARCH("nystag",$J186)),ISNUMBER(SEARCH("saccad",$J186))),"FIN_A","FIN_E"),"FIN_E"),IF($K186="Oui","FIN_C",IF($M186="Oui","FIN_A",IF($N186="Oui","FIN_A",IF($O186="Oui","FIN_A",IF($P186="Oui","FIN_A",IF($Q186="Oui","FIN_D",IF($R186="Non","FIN_E",IF($S186="Oui","FIN_A","FIN_D"))))))))))))</f>
        <v/>
      </c>
      <c r="X186" s="2">
        <f>TEXTJOIN(", ",TRUE,IF($I186="Oui",IF(ISNUMBER(SEARCH("lent",$J186)),"01.02",IF(ISNUMBER(SEARCH("lunett",$J186)),"01.01","01.06")),""),IF(OR(ISNUMBER(SEARCH("diplop",$J186)),ISNUMBER(SEARCH("couvre",$J186)),ISNUMBER(SEARCH("occlus",$J186))),"01.05",""),IF(OR(ISNUMBER(SEARCH("main droite",$H186)),ISNUMBER(SEARCH("faiblesse droite",$H186)),ISNUMBER(SEARCH("hémipar",$H186)),ISNUMBER(SEARCH("hemipar",$H186))),"78",""),IF(OR(ISNUMBER(SEARCH("main",$H186)),ISNUMBER(SEARCH("membre supérieur",$H186)),ISNUMBER(SEARCH("membre superieur",$H186))),"03.01",""),IF(OR(ISNUMBER(SEARCH("équilibre",$H186)),ISNUMBER(SEARCH("equilibre",$H186)),ISNUMBER(SEARCH("atax",$H186))),"43.03",""),IF(OR(ISNUMBER(SEARCH("champ visuel",$J186)),ISNUMBER(SEARCH("hémianops",$J186)),ISNUMBER(SEARCH("hemianops",$J186))),"42.05",""),IF(OR(ISNUMBER(SEARCH("faiblesse",$H186)),ISNUMBER(SEARCH("spastic",$H186))),"40.11",""),IF(OR(ISNUMBER(SEARCH("faiblesse",$H186)),ISNUMBER(SEARCH("spastic",$H186))),"35.02",""))</f>
        <v/>
      </c>
      <c r="Y186" s="2">
        <f>TEXTJOIN(" | ",TRUE,IF($I186="Oui","Vision: correction (lunettes/lentilles) selon bilan ophtalmo.",""),IF(OR(ISNUMBER(SEARCH("diplop",$J186)),ISNUMBER(SEARCH("occlus",$J186))),"Si diplopie: prisme/occlusion/couvre-œil si indiqué + avis oph.",""),IF(OR(ISNUMBER(SEARCH("main droite",$H186)),ISNUMBER(SEARCH("hémipar",$H186)),ISNUMBER(SEARCH("hemipar",$H186))),"Si déficit MS: privilégier véhicule à boîte automatique + aide au volant/commandes.",""),IF(OR(ISNUMBER(SEARCH("équilibre",$H186)),ISNUMBER(SEARCH("equilibre",$H186)),ISNUMBER(SEARCH("atax",$H186))),"Si instabilité: siège avec soutien latéral / accoudoir.",""),IF(OR(ISNUMBER(SEARCH("hémianops",$J186)),ISNUMBER(SEARCH("hemianops",$J186))),"Si champ visuel limité: dispositifs de vision angle mort (si compatible) + avis spécialisé.",""))</f>
        <v/>
      </c>
    </row>
    <row r="187">
      <c r="T187" s="2">
        <f>IF($E187="&lt; 6 mois","FIN_A",IF($G187="Oui","FIN_A",IF($I187="Oui",IFERROR(IF(OR(ISNUMBER(SEARCH("hémianops",$J187)),ISNUMBER(SEARCH("hemianops",$J187)),ISNUMBER(SEARCH("quadranops",$J187)),ISNUMBER(SEARCH("diplop",$J187)),ISNUMBER(SEARCH("nystag",$J187)),ISNUMBER(SEARCH("saccad",$J187))),"FIN_A","FIN_E"),"FIN_E"),IF($K187="Oui","FIN_C",IF($M187="Oui","FIN_A",IF($N187="Oui","FIN_A",IF($O187="Oui","FIN_A",IF($P187="Oui","FIN_A",IF($Q187="Oui","FIN_D",IF($R187="Non","FIN_E",IF($S187="Oui","FIN_A","FIN_D"))))))))))))</f>
        <v/>
      </c>
      <c r="X187" s="2">
        <f>TEXTJOIN(", ",TRUE,IF($I187="Oui",IF(ISNUMBER(SEARCH("lent",$J187)),"01.02",IF(ISNUMBER(SEARCH("lunett",$J187)),"01.01","01.06")),""),IF(OR(ISNUMBER(SEARCH("diplop",$J187)),ISNUMBER(SEARCH("couvre",$J187)),ISNUMBER(SEARCH("occlus",$J187))),"01.05",""),IF(OR(ISNUMBER(SEARCH("main droite",$H187)),ISNUMBER(SEARCH("faiblesse droite",$H187)),ISNUMBER(SEARCH("hémipar",$H187)),ISNUMBER(SEARCH("hemipar",$H187))),"78",""),IF(OR(ISNUMBER(SEARCH("main",$H187)),ISNUMBER(SEARCH("membre supérieur",$H187)),ISNUMBER(SEARCH("membre superieur",$H187))),"03.01",""),IF(OR(ISNUMBER(SEARCH("équilibre",$H187)),ISNUMBER(SEARCH("equilibre",$H187)),ISNUMBER(SEARCH("atax",$H187))),"43.03",""),IF(OR(ISNUMBER(SEARCH("champ visuel",$J187)),ISNUMBER(SEARCH("hémianops",$J187)),ISNUMBER(SEARCH("hemianops",$J187))),"42.05",""),IF(OR(ISNUMBER(SEARCH("faiblesse",$H187)),ISNUMBER(SEARCH("spastic",$H187))),"40.11",""),IF(OR(ISNUMBER(SEARCH("faiblesse",$H187)),ISNUMBER(SEARCH("spastic",$H187))),"35.02",""))</f>
        <v/>
      </c>
      <c r="Y187" s="2">
        <f>TEXTJOIN(" | ",TRUE,IF($I187="Oui","Vision: correction (lunettes/lentilles) selon bilan ophtalmo.",""),IF(OR(ISNUMBER(SEARCH("diplop",$J187)),ISNUMBER(SEARCH("occlus",$J187))),"Si diplopie: prisme/occlusion/couvre-œil si indiqué + avis oph.",""),IF(OR(ISNUMBER(SEARCH("main droite",$H187)),ISNUMBER(SEARCH("hémipar",$H187)),ISNUMBER(SEARCH("hemipar",$H187))),"Si déficit MS: privilégier véhicule à boîte automatique + aide au volant/commandes.",""),IF(OR(ISNUMBER(SEARCH("équilibre",$H187)),ISNUMBER(SEARCH("equilibre",$H187)),ISNUMBER(SEARCH("atax",$H187))),"Si instabilité: siège avec soutien latéral / accoudoir.",""),IF(OR(ISNUMBER(SEARCH("hémianops",$J187)),ISNUMBER(SEARCH("hemianops",$J187))),"Si champ visuel limité: dispositifs de vision angle mort (si compatible) + avis spécialisé.",""))</f>
        <v/>
      </c>
    </row>
    <row r="188">
      <c r="T188" s="2">
        <f>IF($E188="&lt; 6 mois","FIN_A",IF($G188="Oui","FIN_A",IF($I188="Oui",IFERROR(IF(OR(ISNUMBER(SEARCH("hémianops",$J188)),ISNUMBER(SEARCH("hemianops",$J188)),ISNUMBER(SEARCH("quadranops",$J188)),ISNUMBER(SEARCH("diplop",$J188)),ISNUMBER(SEARCH("nystag",$J188)),ISNUMBER(SEARCH("saccad",$J188))),"FIN_A","FIN_E"),"FIN_E"),IF($K188="Oui","FIN_C",IF($M188="Oui","FIN_A",IF($N188="Oui","FIN_A",IF($O188="Oui","FIN_A",IF($P188="Oui","FIN_A",IF($Q188="Oui","FIN_D",IF($R188="Non","FIN_E",IF($S188="Oui","FIN_A","FIN_D"))))))))))))</f>
        <v/>
      </c>
      <c r="X188" s="2">
        <f>TEXTJOIN(", ",TRUE,IF($I188="Oui",IF(ISNUMBER(SEARCH("lent",$J188)),"01.02",IF(ISNUMBER(SEARCH("lunett",$J188)),"01.01","01.06")),""),IF(OR(ISNUMBER(SEARCH("diplop",$J188)),ISNUMBER(SEARCH("couvre",$J188)),ISNUMBER(SEARCH("occlus",$J188))),"01.05",""),IF(OR(ISNUMBER(SEARCH("main droite",$H188)),ISNUMBER(SEARCH("faiblesse droite",$H188)),ISNUMBER(SEARCH("hémipar",$H188)),ISNUMBER(SEARCH("hemipar",$H188))),"78",""),IF(OR(ISNUMBER(SEARCH("main",$H188)),ISNUMBER(SEARCH("membre supérieur",$H188)),ISNUMBER(SEARCH("membre superieur",$H188))),"03.01",""),IF(OR(ISNUMBER(SEARCH("équilibre",$H188)),ISNUMBER(SEARCH("equilibre",$H188)),ISNUMBER(SEARCH("atax",$H188))),"43.03",""),IF(OR(ISNUMBER(SEARCH("champ visuel",$J188)),ISNUMBER(SEARCH("hémianops",$J188)),ISNUMBER(SEARCH("hemianops",$J188))),"42.05",""),IF(OR(ISNUMBER(SEARCH("faiblesse",$H188)),ISNUMBER(SEARCH("spastic",$H188))),"40.11",""),IF(OR(ISNUMBER(SEARCH("faiblesse",$H188)),ISNUMBER(SEARCH("spastic",$H188))),"35.02",""))</f>
        <v/>
      </c>
      <c r="Y188" s="2">
        <f>TEXTJOIN(" | ",TRUE,IF($I188="Oui","Vision: correction (lunettes/lentilles) selon bilan ophtalmo.",""),IF(OR(ISNUMBER(SEARCH("diplop",$J188)),ISNUMBER(SEARCH("occlus",$J188))),"Si diplopie: prisme/occlusion/couvre-œil si indiqué + avis oph.",""),IF(OR(ISNUMBER(SEARCH("main droite",$H188)),ISNUMBER(SEARCH("hémipar",$H188)),ISNUMBER(SEARCH("hemipar",$H188))),"Si déficit MS: privilégier véhicule à boîte automatique + aide au volant/commandes.",""),IF(OR(ISNUMBER(SEARCH("équilibre",$H188)),ISNUMBER(SEARCH("equilibre",$H188)),ISNUMBER(SEARCH("atax",$H188))),"Si instabilité: siège avec soutien latéral / accoudoir.",""),IF(OR(ISNUMBER(SEARCH("hémianops",$J188)),ISNUMBER(SEARCH("hemianops",$J188))),"Si champ visuel limité: dispositifs de vision angle mort (si compatible) + avis spécialisé.",""))</f>
        <v/>
      </c>
    </row>
    <row r="189">
      <c r="T189" s="2">
        <f>IF($E189="&lt; 6 mois","FIN_A",IF($G189="Oui","FIN_A",IF($I189="Oui",IFERROR(IF(OR(ISNUMBER(SEARCH("hémianops",$J189)),ISNUMBER(SEARCH("hemianops",$J189)),ISNUMBER(SEARCH("quadranops",$J189)),ISNUMBER(SEARCH("diplop",$J189)),ISNUMBER(SEARCH("nystag",$J189)),ISNUMBER(SEARCH("saccad",$J189))),"FIN_A","FIN_E"),"FIN_E"),IF($K189="Oui","FIN_C",IF($M189="Oui","FIN_A",IF($N189="Oui","FIN_A",IF($O189="Oui","FIN_A",IF($P189="Oui","FIN_A",IF($Q189="Oui","FIN_D",IF($R189="Non","FIN_E",IF($S189="Oui","FIN_A","FIN_D"))))))))))))</f>
        <v/>
      </c>
      <c r="X189" s="2">
        <f>TEXTJOIN(", ",TRUE,IF($I189="Oui",IF(ISNUMBER(SEARCH("lent",$J189)),"01.02",IF(ISNUMBER(SEARCH("lunett",$J189)),"01.01","01.06")),""),IF(OR(ISNUMBER(SEARCH("diplop",$J189)),ISNUMBER(SEARCH("couvre",$J189)),ISNUMBER(SEARCH("occlus",$J189))),"01.05",""),IF(OR(ISNUMBER(SEARCH("main droite",$H189)),ISNUMBER(SEARCH("faiblesse droite",$H189)),ISNUMBER(SEARCH("hémipar",$H189)),ISNUMBER(SEARCH("hemipar",$H189))),"78",""),IF(OR(ISNUMBER(SEARCH("main",$H189)),ISNUMBER(SEARCH("membre supérieur",$H189)),ISNUMBER(SEARCH("membre superieur",$H189))),"03.01",""),IF(OR(ISNUMBER(SEARCH("équilibre",$H189)),ISNUMBER(SEARCH("equilibre",$H189)),ISNUMBER(SEARCH("atax",$H189))),"43.03",""),IF(OR(ISNUMBER(SEARCH("champ visuel",$J189)),ISNUMBER(SEARCH("hémianops",$J189)),ISNUMBER(SEARCH("hemianops",$J189))),"42.05",""),IF(OR(ISNUMBER(SEARCH("faiblesse",$H189)),ISNUMBER(SEARCH("spastic",$H189))),"40.11",""),IF(OR(ISNUMBER(SEARCH("faiblesse",$H189)),ISNUMBER(SEARCH("spastic",$H189))),"35.02",""))</f>
        <v/>
      </c>
      <c r="Y189" s="2">
        <f>TEXTJOIN(" | ",TRUE,IF($I189="Oui","Vision: correction (lunettes/lentilles) selon bilan ophtalmo.",""),IF(OR(ISNUMBER(SEARCH("diplop",$J189)),ISNUMBER(SEARCH("occlus",$J189))),"Si diplopie: prisme/occlusion/couvre-œil si indiqué + avis oph.",""),IF(OR(ISNUMBER(SEARCH("main droite",$H189)),ISNUMBER(SEARCH("hémipar",$H189)),ISNUMBER(SEARCH("hemipar",$H189))),"Si déficit MS: privilégier véhicule à boîte automatique + aide au volant/commandes.",""),IF(OR(ISNUMBER(SEARCH("équilibre",$H189)),ISNUMBER(SEARCH("equilibre",$H189)),ISNUMBER(SEARCH("atax",$H189))),"Si instabilité: siège avec soutien latéral / accoudoir.",""),IF(OR(ISNUMBER(SEARCH("hémianops",$J189)),ISNUMBER(SEARCH("hemianops",$J189))),"Si champ visuel limité: dispositifs de vision angle mort (si compatible) + avis spécialisé.",""))</f>
        <v/>
      </c>
    </row>
    <row r="190">
      <c r="T190" s="2">
        <f>IF($E190="&lt; 6 mois","FIN_A",IF($G190="Oui","FIN_A",IF($I190="Oui",IFERROR(IF(OR(ISNUMBER(SEARCH("hémianops",$J190)),ISNUMBER(SEARCH("hemianops",$J190)),ISNUMBER(SEARCH("quadranops",$J190)),ISNUMBER(SEARCH("diplop",$J190)),ISNUMBER(SEARCH("nystag",$J190)),ISNUMBER(SEARCH("saccad",$J190))),"FIN_A","FIN_E"),"FIN_E"),IF($K190="Oui","FIN_C",IF($M190="Oui","FIN_A",IF($N190="Oui","FIN_A",IF($O190="Oui","FIN_A",IF($P190="Oui","FIN_A",IF($Q190="Oui","FIN_D",IF($R190="Non","FIN_E",IF($S190="Oui","FIN_A","FIN_D"))))))))))))</f>
        <v/>
      </c>
      <c r="X190" s="2">
        <f>TEXTJOIN(", ",TRUE,IF($I190="Oui",IF(ISNUMBER(SEARCH("lent",$J190)),"01.02",IF(ISNUMBER(SEARCH("lunett",$J190)),"01.01","01.06")),""),IF(OR(ISNUMBER(SEARCH("diplop",$J190)),ISNUMBER(SEARCH("couvre",$J190)),ISNUMBER(SEARCH("occlus",$J190))),"01.05",""),IF(OR(ISNUMBER(SEARCH("main droite",$H190)),ISNUMBER(SEARCH("faiblesse droite",$H190)),ISNUMBER(SEARCH("hémipar",$H190)),ISNUMBER(SEARCH("hemipar",$H190))),"78",""),IF(OR(ISNUMBER(SEARCH("main",$H190)),ISNUMBER(SEARCH("membre supérieur",$H190)),ISNUMBER(SEARCH("membre superieur",$H190))),"03.01",""),IF(OR(ISNUMBER(SEARCH("équilibre",$H190)),ISNUMBER(SEARCH("equilibre",$H190)),ISNUMBER(SEARCH("atax",$H190))),"43.03",""),IF(OR(ISNUMBER(SEARCH("champ visuel",$J190)),ISNUMBER(SEARCH("hémianops",$J190)),ISNUMBER(SEARCH("hemianops",$J190))),"42.05",""),IF(OR(ISNUMBER(SEARCH("faiblesse",$H190)),ISNUMBER(SEARCH("spastic",$H190))),"40.11",""),IF(OR(ISNUMBER(SEARCH("faiblesse",$H190)),ISNUMBER(SEARCH("spastic",$H190))),"35.02",""))</f>
        <v/>
      </c>
      <c r="Y190" s="2">
        <f>TEXTJOIN(" | ",TRUE,IF($I190="Oui","Vision: correction (lunettes/lentilles) selon bilan ophtalmo.",""),IF(OR(ISNUMBER(SEARCH("diplop",$J190)),ISNUMBER(SEARCH("occlus",$J190))),"Si diplopie: prisme/occlusion/couvre-œil si indiqué + avis oph.",""),IF(OR(ISNUMBER(SEARCH("main droite",$H190)),ISNUMBER(SEARCH("hémipar",$H190)),ISNUMBER(SEARCH("hemipar",$H190))),"Si déficit MS: privilégier véhicule à boîte automatique + aide au volant/commandes.",""),IF(OR(ISNUMBER(SEARCH("équilibre",$H190)),ISNUMBER(SEARCH("equilibre",$H190)),ISNUMBER(SEARCH("atax",$H190))),"Si instabilité: siège avec soutien latéral / accoudoir.",""),IF(OR(ISNUMBER(SEARCH("hémianops",$J190)),ISNUMBER(SEARCH("hemianops",$J190))),"Si champ visuel limité: dispositifs de vision angle mort (si compatible) + avis spécialisé.",""))</f>
        <v/>
      </c>
    </row>
    <row r="191">
      <c r="T191" s="2">
        <f>IF($E191="&lt; 6 mois","FIN_A",IF($G191="Oui","FIN_A",IF($I191="Oui",IFERROR(IF(OR(ISNUMBER(SEARCH("hémianops",$J191)),ISNUMBER(SEARCH("hemianops",$J191)),ISNUMBER(SEARCH("quadranops",$J191)),ISNUMBER(SEARCH("diplop",$J191)),ISNUMBER(SEARCH("nystag",$J191)),ISNUMBER(SEARCH("saccad",$J191))),"FIN_A","FIN_E"),"FIN_E"),IF($K191="Oui","FIN_C",IF($M191="Oui","FIN_A",IF($N191="Oui","FIN_A",IF($O191="Oui","FIN_A",IF($P191="Oui","FIN_A",IF($Q191="Oui","FIN_D",IF($R191="Non","FIN_E",IF($S191="Oui","FIN_A","FIN_D"))))))))))))</f>
        <v/>
      </c>
      <c r="X191" s="2">
        <f>TEXTJOIN(", ",TRUE,IF($I191="Oui",IF(ISNUMBER(SEARCH("lent",$J191)),"01.02",IF(ISNUMBER(SEARCH("lunett",$J191)),"01.01","01.06")),""),IF(OR(ISNUMBER(SEARCH("diplop",$J191)),ISNUMBER(SEARCH("couvre",$J191)),ISNUMBER(SEARCH("occlus",$J191))),"01.05",""),IF(OR(ISNUMBER(SEARCH("main droite",$H191)),ISNUMBER(SEARCH("faiblesse droite",$H191)),ISNUMBER(SEARCH("hémipar",$H191)),ISNUMBER(SEARCH("hemipar",$H191))),"78",""),IF(OR(ISNUMBER(SEARCH("main",$H191)),ISNUMBER(SEARCH("membre supérieur",$H191)),ISNUMBER(SEARCH("membre superieur",$H191))),"03.01",""),IF(OR(ISNUMBER(SEARCH("équilibre",$H191)),ISNUMBER(SEARCH("equilibre",$H191)),ISNUMBER(SEARCH("atax",$H191))),"43.03",""),IF(OR(ISNUMBER(SEARCH("champ visuel",$J191)),ISNUMBER(SEARCH("hémianops",$J191)),ISNUMBER(SEARCH("hemianops",$J191))),"42.05",""),IF(OR(ISNUMBER(SEARCH("faiblesse",$H191)),ISNUMBER(SEARCH("spastic",$H191))),"40.11",""),IF(OR(ISNUMBER(SEARCH("faiblesse",$H191)),ISNUMBER(SEARCH("spastic",$H191))),"35.02",""))</f>
        <v/>
      </c>
      <c r="Y191" s="2">
        <f>TEXTJOIN(" | ",TRUE,IF($I191="Oui","Vision: correction (lunettes/lentilles) selon bilan ophtalmo.",""),IF(OR(ISNUMBER(SEARCH("diplop",$J191)),ISNUMBER(SEARCH("occlus",$J191))),"Si diplopie: prisme/occlusion/couvre-œil si indiqué + avis oph.",""),IF(OR(ISNUMBER(SEARCH("main droite",$H191)),ISNUMBER(SEARCH("hémipar",$H191)),ISNUMBER(SEARCH("hemipar",$H191))),"Si déficit MS: privilégier véhicule à boîte automatique + aide au volant/commandes.",""),IF(OR(ISNUMBER(SEARCH("équilibre",$H191)),ISNUMBER(SEARCH("equilibre",$H191)),ISNUMBER(SEARCH("atax",$H191))),"Si instabilité: siège avec soutien latéral / accoudoir.",""),IF(OR(ISNUMBER(SEARCH("hémianops",$J191)),ISNUMBER(SEARCH("hemianops",$J191))),"Si champ visuel limité: dispositifs de vision angle mort (si compatible) + avis spécialisé.",""))</f>
        <v/>
      </c>
    </row>
    <row r="192">
      <c r="T192" s="2">
        <f>IF($E192="&lt; 6 mois","FIN_A",IF($G192="Oui","FIN_A",IF($I192="Oui",IFERROR(IF(OR(ISNUMBER(SEARCH("hémianops",$J192)),ISNUMBER(SEARCH("hemianops",$J192)),ISNUMBER(SEARCH("quadranops",$J192)),ISNUMBER(SEARCH("diplop",$J192)),ISNUMBER(SEARCH("nystag",$J192)),ISNUMBER(SEARCH("saccad",$J192))),"FIN_A","FIN_E"),"FIN_E"),IF($K192="Oui","FIN_C",IF($M192="Oui","FIN_A",IF($N192="Oui","FIN_A",IF($O192="Oui","FIN_A",IF($P192="Oui","FIN_A",IF($Q192="Oui","FIN_D",IF($R192="Non","FIN_E",IF($S192="Oui","FIN_A","FIN_D"))))))))))))</f>
        <v/>
      </c>
      <c r="X192" s="2">
        <f>TEXTJOIN(", ",TRUE,IF($I192="Oui",IF(ISNUMBER(SEARCH("lent",$J192)),"01.02",IF(ISNUMBER(SEARCH("lunett",$J192)),"01.01","01.06")),""),IF(OR(ISNUMBER(SEARCH("diplop",$J192)),ISNUMBER(SEARCH("couvre",$J192)),ISNUMBER(SEARCH("occlus",$J192))),"01.05",""),IF(OR(ISNUMBER(SEARCH("main droite",$H192)),ISNUMBER(SEARCH("faiblesse droite",$H192)),ISNUMBER(SEARCH("hémipar",$H192)),ISNUMBER(SEARCH("hemipar",$H192))),"78",""),IF(OR(ISNUMBER(SEARCH("main",$H192)),ISNUMBER(SEARCH("membre supérieur",$H192)),ISNUMBER(SEARCH("membre superieur",$H192))),"03.01",""),IF(OR(ISNUMBER(SEARCH("équilibre",$H192)),ISNUMBER(SEARCH("equilibre",$H192)),ISNUMBER(SEARCH("atax",$H192))),"43.03",""),IF(OR(ISNUMBER(SEARCH("champ visuel",$J192)),ISNUMBER(SEARCH("hémianops",$J192)),ISNUMBER(SEARCH("hemianops",$J192))),"42.05",""),IF(OR(ISNUMBER(SEARCH("faiblesse",$H192)),ISNUMBER(SEARCH("spastic",$H192))),"40.11",""),IF(OR(ISNUMBER(SEARCH("faiblesse",$H192)),ISNUMBER(SEARCH("spastic",$H192))),"35.02",""))</f>
        <v/>
      </c>
      <c r="Y192" s="2">
        <f>TEXTJOIN(" | ",TRUE,IF($I192="Oui","Vision: correction (lunettes/lentilles) selon bilan ophtalmo.",""),IF(OR(ISNUMBER(SEARCH("diplop",$J192)),ISNUMBER(SEARCH("occlus",$J192))),"Si diplopie: prisme/occlusion/couvre-œil si indiqué + avis oph.",""),IF(OR(ISNUMBER(SEARCH("main droite",$H192)),ISNUMBER(SEARCH("hémipar",$H192)),ISNUMBER(SEARCH("hemipar",$H192))),"Si déficit MS: privilégier véhicule à boîte automatique + aide au volant/commandes.",""),IF(OR(ISNUMBER(SEARCH("équilibre",$H192)),ISNUMBER(SEARCH("equilibre",$H192)),ISNUMBER(SEARCH("atax",$H192))),"Si instabilité: siège avec soutien latéral / accoudoir.",""),IF(OR(ISNUMBER(SEARCH("hémianops",$J192)),ISNUMBER(SEARCH("hemianops",$J192))),"Si champ visuel limité: dispositifs de vision angle mort (si compatible) + avis spécialisé.",""))</f>
        <v/>
      </c>
    </row>
    <row r="193">
      <c r="T193" s="2">
        <f>IF($E193="&lt; 6 mois","FIN_A",IF($G193="Oui","FIN_A",IF($I193="Oui",IFERROR(IF(OR(ISNUMBER(SEARCH("hémianops",$J193)),ISNUMBER(SEARCH("hemianops",$J193)),ISNUMBER(SEARCH("quadranops",$J193)),ISNUMBER(SEARCH("diplop",$J193)),ISNUMBER(SEARCH("nystag",$J193)),ISNUMBER(SEARCH("saccad",$J193))),"FIN_A","FIN_E"),"FIN_E"),IF($K193="Oui","FIN_C",IF($M193="Oui","FIN_A",IF($N193="Oui","FIN_A",IF($O193="Oui","FIN_A",IF($P193="Oui","FIN_A",IF($Q193="Oui","FIN_D",IF($R193="Non","FIN_E",IF($S193="Oui","FIN_A","FIN_D"))))))))))))</f>
        <v/>
      </c>
      <c r="X193" s="2">
        <f>TEXTJOIN(", ",TRUE,IF($I193="Oui",IF(ISNUMBER(SEARCH("lent",$J193)),"01.02",IF(ISNUMBER(SEARCH("lunett",$J193)),"01.01","01.06")),""),IF(OR(ISNUMBER(SEARCH("diplop",$J193)),ISNUMBER(SEARCH("couvre",$J193)),ISNUMBER(SEARCH("occlus",$J193))),"01.05",""),IF(OR(ISNUMBER(SEARCH("main droite",$H193)),ISNUMBER(SEARCH("faiblesse droite",$H193)),ISNUMBER(SEARCH("hémipar",$H193)),ISNUMBER(SEARCH("hemipar",$H193))),"78",""),IF(OR(ISNUMBER(SEARCH("main",$H193)),ISNUMBER(SEARCH("membre supérieur",$H193)),ISNUMBER(SEARCH("membre superieur",$H193))),"03.01",""),IF(OR(ISNUMBER(SEARCH("équilibre",$H193)),ISNUMBER(SEARCH("equilibre",$H193)),ISNUMBER(SEARCH("atax",$H193))),"43.03",""),IF(OR(ISNUMBER(SEARCH("champ visuel",$J193)),ISNUMBER(SEARCH("hémianops",$J193)),ISNUMBER(SEARCH("hemianops",$J193))),"42.05",""),IF(OR(ISNUMBER(SEARCH("faiblesse",$H193)),ISNUMBER(SEARCH("spastic",$H193))),"40.11",""),IF(OR(ISNUMBER(SEARCH("faiblesse",$H193)),ISNUMBER(SEARCH("spastic",$H193))),"35.02",""))</f>
        <v/>
      </c>
      <c r="Y193" s="2">
        <f>TEXTJOIN(" | ",TRUE,IF($I193="Oui","Vision: correction (lunettes/lentilles) selon bilan ophtalmo.",""),IF(OR(ISNUMBER(SEARCH("diplop",$J193)),ISNUMBER(SEARCH("occlus",$J193))),"Si diplopie: prisme/occlusion/couvre-œil si indiqué + avis oph.",""),IF(OR(ISNUMBER(SEARCH("main droite",$H193)),ISNUMBER(SEARCH("hémipar",$H193)),ISNUMBER(SEARCH("hemipar",$H193))),"Si déficit MS: privilégier véhicule à boîte automatique + aide au volant/commandes.",""),IF(OR(ISNUMBER(SEARCH("équilibre",$H193)),ISNUMBER(SEARCH("equilibre",$H193)),ISNUMBER(SEARCH("atax",$H193))),"Si instabilité: siège avec soutien latéral / accoudoir.",""),IF(OR(ISNUMBER(SEARCH("hémianops",$J193)),ISNUMBER(SEARCH("hemianops",$J193))),"Si champ visuel limité: dispositifs de vision angle mort (si compatible) + avis spécialisé.",""))</f>
        <v/>
      </c>
    </row>
    <row r="194">
      <c r="T194" s="2">
        <f>IF($E194="&lt; 6 mois","FIN_A",IF($G194="Oui","FIN_A",IF($I194="Oui",IFERROR(IF(OR(ISNUMBER(SEARCH("hémianops",$J194)),ISNUMBER(SEARCH("hemianops",$J194)),ISNUMBER(SEARCH("quadranops",$J194)),ISNUMBER(SEARCH("diplop",$J194)),ISNUMBER(SEARCH("nystag",$J194)),ISNUMBER(SEARCH("saccad",$J194))),"FIN_A","FIN_E"),"FIN_E"),IF($K194="Oui","FIN_C",IF($M194="Oui","FIN_A",IF($N194="Oui","FIN_A",IF($O194="Oui","FIN_A",IF($P194="Oui","FIN_A",IF($Q194="Oui","FIN_D",IF($R194="Non","FIN_E",IF($S194="Oui","FIN_A","FIN_D"))))))))))))</f>
        <v/>
      </c>
      <c r="X194" s="2">
        <f>TEXTJOIN(", ",TRUE,IF($I194="Oui",IF(ISNUMBER(SEARCH("lent",$J194)),"01.02",IF(ISNUMBER(SEARCH("lunett",$J194)),"01.01","01.06")),""),IF(OR(ISNUMBER(SEARCH("diplop",$J194)),ISNUMBER(SEARCH("couvre",$J194)),ISNUMBER(SEARCH("occlus",$J194))),"01.05",""),IF(OR(ISNUMBER(SEARCH("main droite",$H194)),ISNUMBER(SEARCH("faiblesse droite",$H194)),ISNUMBER(SEARCH("hémipar",$H194)),ISNUMBER(SEARCH("hemipar",$H194))),"78",""),IF(OR(ISNUMBER(SEARCH("main",$H194)),ISNUMBER(SEARCH("membre supérieur",$H194)),ISNUMBER(SEARCH("membre superieur",$H194))),"03.01",""),IF(OR(ISNUMBER(SEARCH("équilibre",$H194)),ISNUMBER(SEARCH("equilibre",$H194)),ISNUMBER(SEARCH("atax",$H194))),"43.03",""),IF(OR(ISNUMBER(SEARCH("champ visuel",$J194)),ISNUMBER(SEARCH("hémianops",$J194)),ISNUMBER(SEARCH("hemianops",$J194))),"42.05",""),IF(OR(ISNUMBER(SEARCH("faiblesse",$H194)),ISNUMBER(SEARCH("spastic",$H194))),"40.11",""),IF(OR(ISNUMBER(SEARCH("faiblesse",$H194)),ISNUMBER(SEARCH("spastic",$H194))),"35.02",""))</f>
        <v/>
      </c>
      <c r="Y194" s="2">
        <f>TEXTJOIN(" | ",TRUE,IF($I194="Oui","Vision: correction (lunettes/lentilles) selon bilan ophtalmo.",""),IF(OR(ISNUMBER(SEARCH("diplop",$J194)),ISNUMBER(SEARCH("occlus",$J194))),"Si diplopie: prisme/occlusion/couvre-œil si indiqué + avis oph.",""),IF(OR(ISNUMBER(SEARCH("main droite",$H194)),ISNUMBER(SEARCH("hémipar",$H194)),ISNUMBER(SEARCH("hemipar",$H194))),"Si déficit MS: privilégier véhicule à boîte automatique + aide au volant/commandes.",""),IF(OR(ISNUMBER(SEARCH("équilibre",$H194)),ISNUMBER(SEARCH("equilibre",$H194)),ISNUMBER(SEARCH("atax",$H194))),"Si instabilité: siège avec soutien latéral / accoudoir.",""),IF(OR(ISNUMBER(SEARCH("hémianops",$J194)),ISNUMBER(SEARCH("hemianops",$J194))),"Si champ visuel limité: dispositifs de vision angle mort (si compatible) + avis spécialisé.",""))</f>
        <v/>
      </c>
    </row>
    <row r="195">
      <c r="T195" s="2">
        <f>IF($E195="&lt; 6 mois","FIN_A",IF($G195="Oui","FIN_A",IF($I195="Oui",IFERROR(IF(OR(ISNUMBER(SEARCH("hémianops",$J195)),ISNUMBER(SEARCH("hemianops",$J195)),ISNUMBER(SEARCH("quadranops",$J195)),ISNUMBER(SEARCH("diplop",$J195)),ISNUMBER(SEARCH("nystag",$J195)),ISNUMBER(SEARCH("saccad",$J195))),"FIN_A","FIN_E"),"FIN_E"),IF($K195="Oui","FIN_C",IF($M195="Oui","FIN_A",IF($N195="Oui","FIN_A",IF($O195="Oui","FIN_A",IF($P195="Oui","FIN_A",IF($Q195="Oui","FIN_D",IF($R195="Non","FIN_E",IF($S195="Oui","FIN_A","FIN_D"))))))))))))</f>
        <v/>
      </c>
      <c r="X195" s="2">
        <f>TEXTJOIN(", ",TRUE,IF($I195="Oui",IF(ISNUMBER(SEARCH("lent",$J195)),"01.02",IF(ISNUMBER(SEARCH("lunett",$J195)),"01.01","01.06")),""),IF(OR(ISNUMBER(SEARCH("diplop",$J195)),ISNUMBER(SEARCH("couvre",$J195)),ISNUMBER(SEARCH("occlus",$J195))),"01.05",""),IF(OR(ISNUMBER(SEARCH("main droite",$H195)),ISNUMBER(SEARCH("faiblesse droite",$H195)),ISNUMBER(SEARCH("hémipar",$H195)),ISNUMBER(SEARCH("hemipar",$H195))),"78",""),IF(OR(ISNUMBER(SEARCH("main",$H195)),ISNUMBER(SEARCH("membre supérieur",$H195)),ISNUMBER(SEARCH("membre superieur",$H195))),"03.01",""),IF(OR(ISNUMBER(SEARCH("équilibre",$H195)),ISNUMBER(SEARCH("equilibre",$H195)),ISNUMBER(SEARCH("atax",$H195))),"43.03",""),IF(OR(ISNUMBER(SEARCH("champ visuel",$J195)),ISNUMBER(SEARCH("hémianops",$J195)),ISNUMBER(SEARCH("hemianops",$J195))),"42.05",""),IF(OR(ISNUMBER(SEARCH("faiblesse",$H195)),ISNUMBER(SEARCH("spastic",$H195))),"40.11",""),IF(OR(ISNUMBER(SEARCH("faiblesse",$H195)),ISNUMBER(SEARCH("spastic",$H195))),"35.02",""))</f>
        <v/>
      </c>
      <c r="Y195" s="2">
        <f>TEXTJOIN(" | ",TRUE,IF($I195="Oui","Vision: correction (lunettes/lentilles) selon bilan ophtalmo.",""),IF(OR(ISNUMBER(SEARCH("diplop",$J195)),ISNUMBER(SEARCH("occlus",$J195))),"Si diplopie: prisme/occlusion/couvre-œil si indiqué + avis oph.",""),IF(OR(ISNUMBER(SEARCH("main droite",$H195)),ISNUMBER(SEARCH("hémipar",$H195)),ISNUMBER(SEARCH("hemipar",$H195))),"Si déficit MS: privilégier véhicule à boîte automatique + aide au volant/commandes.",""),IF(OR(ISNUMBER(SEARCH("équilibre",$H195)),ISNUMBER(SEARCH("equilibre",$H195)),ISNUMBER(SEARCH("atax",$H195))),"Si instabilité: siège avec soutien latéral / accoudoir.",""),IF(OR(ISNUMBER(SEARCH("hémianops",$J195)),ISNUMBER(SEARCH("hemianops",$J195))),"Si champ visuel limité: dispositifs de vision angle mort (si compatible) + avis spécialisé.",""))</f>
        <v/>
      </c>
    </row>
    <row r="196">
      <c r="T196" s="2">
        <f>IF($E196="&lt; 6 mois","FIN_A",IF($G196="Oui","FIN_A",IF($I196="Oui",IFERROR(IF(OR(ISNUMBER(SEARCH("hémianops",$J196)),ISNUMBER(SEARCH("hemianops",$J196)),ISNUMBER(SEARCH("quadranops",$J196)),ISNUMBER(SEARCH("diplop",$J196)),ISNUMBER(SEARCH("nystag",$J196)),ISNUMBER(SEARCH("saccad",$J196))),"FIN_A","FIN_E"),"FIN_E"),IF($K196="Oui","FIN_C",IF($M196="Oui","FIN_A",IF($N196="Oui","FIN_A",IF($O196="Oui","FIN_A",IF($P196="Oui","FIN_A",IF($Q196="Oui","FIN_D",IF($R196="Non","FIN_E",IF($S196="Oui","FIN_A","FIN_D"))))))))))))</f>
        <v/>
      </c>
      <c r="X196" s="2">
        <f>TEXTJOIN(", ",TRUE,IF($I196="Oui",IF(ISNUMBER(SEARCH("lent",$J196)),"01.02",IF(ISNUMBER(SEARCH("lunett",$J196)),"01.01","01.06")),""),IF(OR(ISNUMBER(SEARCH("diplop",$J196)),ISNUMBER(SEARCH("couvre",$J196)),ISNUMBER(SEARCH("occlus",$J196))),"01.05",""),IF(OR(ISNUMBER(SEARCH("main droite",$H196)),ISNUMBER(SEARCH("faiblesse droite",$H196)),ISNUMBER(SEARCH("hémipar",$H196)),ISNUMBER(SEARCH("hemipar",$H196))),"78",""),IF(OR(ISNUMBER(SEARCH("main",$H196)),ISNUMBER(SEARCH("membre supérieur",$H196)),ISNUMBER(SEARCH("membre superieur",$H196))),"03.01",""),IF(OR(ISNUMBER(SEARCH("équilibre",$H196)),ISNUMBER(SEARCH("equilibre",$H196)),ISNUMBER(SEARCH("atax",$H196))),"43.03",""),IF(OR(ISNUMBER(SEARCH("champ visuel",$J196)),ISNUMBER(SEARCH("hémianops",$J196)),ISNUMBER(SEARCH("hemianops",$J196))),"42.05",""),IF(OR(ISNUMBER(SEARCH("faiblesse",$H196)),ISNUMBER(SEARCH("spastic",$H196))),"40.11",""),IF(OR(ISNUMBER(SEARCH("faiblesse",$H196)),ISNUMBER(SEARCH("spastic",$H196))),"35.02",""))</f>
        <v/>
      </c>
      <c r="Y196" s="2">
        <f>TEXTJOIN(" | ",TRUE,IF($I196="Oui","Vision: correction (lunettes/lentilles) selon bilan ophtalmo.",""),IF(OR(ISNUMBER(SEARCH("diplop",$J196)),ISNUMBER(SEARCH("occlus",$J196))),"Si diplopie: prisme/occlusion/couvre-œil si indiqué + avis oph.",""),IF(OR(ISNUMBER(SEARCH("main droite",$H196)),ISNUMBER(SEARCH("hémipar",$H196)),ISNUMBER(SEARCH("hemipar",$H196))),"Si déficit MS: privilégier véhicule à boîte automatique + aide au volant/commandes.",""),IF(OR(ISNUMBER(SEARCH("équilibre",$H196)),ISNUMBER(SEARCH("equilibre",$H196)),ISNUMBER(SEARCH("atax",$H196))),"Si instabilité: siège avec soutien latéral / accoudoir.",""),IF(OR(ISNUMBER(SEARCH("hémianops",$J196)),ISNUMBER(SEARCH("hemianops",$J196))),"Si champ visuel limité: dispositifs de vision angle mort (si compatible) + avis spécialisé.",""))</f>
        <v/>
      </c>
    </row>
    <row r="197">
      <c r="T197" s="2">
        <f>IF($E197="&lt; 6 mois","FIN_A",IF($G197="Oui","FIN_A",IF($I197="Oui",IFERROR(IF(OR(ISNUMBER(SEARCH("hémianops",$J197)),ISNUMBER(SEARCH("hemianops",$J197)),ISNUMBER(SEARCH("quadranops",$J197)),ISNUMBER(SEARCH("diplop",$J197)),ISNUMBER(SEARCH("nystag",$J197)),ISNUMBER(SEARCH("saccad",$J197))),"FIN_A","FIN_E"),"FIN_E"),IF($K197="Oui","FIN_C",IF($M197="Oui","FIN_A",IF($N197="Oui","FIN_A",IF($O197="Oui","FIN_A",IF($P197="Oui","FIN_A",IF($Q197="Oui","FIN_D",IF($R197="Non","FIN_E",IF($S197="Oui","FIN_A","FIN_D"))))))))))))</f>
        <v/>
      </c>
      <c r="X197" s="2">
        <f>TEXTJOIN(", ",TRUE,IF($I197="Oui",IF(ISNUMBER(SEARCH("lent",$J197)),"01.02",IF(ISNUMBER(SEARCH("lunett",$J197)),"01.01","01.06")),""),IF(OR(ISNUMBER(SEARCH("diplop",$J197)),ISNUMBER(SEARCH("couvre",$J197)),ISNUMBER(SEARCH("occlus",$J197))),"01.05",""),IF(OR(ISNUMBER(SEARCH("main droite",$H197)),ISNUMBER(SEARCH("faiblesse droite",$H197)),ISNUMBER(SEARCH("hémipar",$H197)),ISNUMBER(SEARCH("hemipar",$H197))),"78",""),IF(OR(ISNUMBER(SEARCH("main",$H197)),ISNUMBER(SEARCH("membre supérieur",$H197)),ISNUMBER(SEARCH("membre superieur",$H197))),"03.01",""),IF(OR(ISNUMBER(SEARCH("équilibre",$H197)),ISNUMBER(SEARCH("equilibre",$H197)),ISNUMBER(SEARCH("atax",$H197))),"43.03",""),IF(OR(ISNUMBER(SEARCH("champ visuel",$J197)),ISNUMBER(SEARCH("hémianops",$J197)),ISNUMBER(SEARCH("hemianops",$J197))),"42.05",""),IF(OR(ISNUMBER(SEARCH("faiblesse",$H197)),ISNUMBER(SEARCH("spastic",$H197))),"40.11",""),IF(OR(ISNUMBER(SEARCH("faiblesse",$H197)),ISNUMBER(SEARCH("spastic",$H197))),"35.02",""))</f>
        <v/>
      </c>
      <c r="Y197" s="2">
        <f>TEXTJOIN(" | ",TRUE,IF($I197="Oui","Vision: correction (lunettes/lentilles) selon bilan ophtalmo.",""),IF(OR(ISNUMBER(SEARCH("diplop",$J197)),ISNUMBER(SEARCH("occlus",$J197))),"Si diplopie: prisme/occlusion/couvre-œil si indiqué + avis oph.",""),IF(OR(ISNUMBER(SEARCH("main droite",$H197)),ISNUMBER(SEARCH("hémipar",$H197)),ISNUMBER(SEARCH("hemipar",$H197))),"Si déficit MS: privilégier véhicule à boîte automatique + aide au volant/commandes.",""),IF(OR(ISNUMBER(SEARCH("équilibre",$H197)),ISNUMBER(SEARCH("equilibre",$H197)),ISNUMBER(SEARCH("atax",$H197))),"Si instabilité: siège avec soutien latéral / accoudoir.",""),IF(OR(ISNUMBER(SEARCH("hémianops",$J197)),ISNUMBER(SEARCH("hemianops",$J197))),"Si champ visuel limité: dispositifs de vision angle mort (si compatible) + avis spécialisé.",""))</f>
        <v/>
      </c>
    </row>
    <row r="198">
      <c r="T198" s="2">
        <f>IF($E198="&lt; 6 mois","FIN_A",IF($G198="Oui","FIN_A",IF($I198="Oui",IFERROR(IF(OR(ISNUMBER(SEARCH("hémianops",$J198)),ISNUMBER(SEARCH("hemianops",$J198)),ISNUMBER(SEARCH("quadranops",$J198)),ISNUMBER(SEARCH("diplop",$J198)),ISNUMBER(SEARCH("nystag",$J198)),ISNUMBER(SEARCH("saccad",$J198))),"FIN_A","FIN_E"),"FIN_E"),IF($K198="Oui","FIN_C",IF($M198="Oui","FIN_A",IF($N198="Oui","FIN_A",IF($O198="Oui","FIN_A",IF($P198="Oui","FIN_A",IF($Q198="Oui","FIN_D",IF($R198="Non","FIN_E",IF($S198="Oui","FIN_A","FIN_D"))))))))))))</f>
        <v/>
      </c>
      <c r="X198" s="2">
        <f>TEXTJOIN(", ",TRUE,IF($I198="Oui",IF(ISNUMBER(SEARCH("lent",$J198)),"01.02",IF(ISNUMBER(SEARCH("lunett",$J198)),"01.01","01.06")),""),IF(OR(ISNUMBER(SEARCH("diplop",$J198)),ISNUMBER(SEARCH("couvre",$J198)),ISNUMBER(SEARCH("occlus",$J198))),"01.05",""),IF(OR(ISNUMBER(SEARCH("main droite",$H198)),ISNUMBER(SEARCH("faiblesse droite",$H198)),ISNUMBER(SEARCH("hémipar",$H198)),ISNUMBER(SEARCH("hemipar",$H198))),"78",""),IF(OR(ISNUMBER(SEARCH("main",$H198)),ISNUMBER(SEARCH("membre supérieur",$H198)),ISNUMBER(SEARCH("membre superieur",$H198))),"03.01",""),IF(OR(ISNUMBER(SEARCH("équilibre",$H198)),ISNUMBER(SEARCH("equilibre",$H198)),ISNUMBER(SEARCH("atax",$H198))),"43.03",""),IF(OR(ISNUMBER(SEARCH("champ visuel",$J198)),ISNUMBER(SEARCH("hémianops",$J198)),ISNUMBER(SEARCH("hemianops",$J198))),"42.05",""),IF(OR(ISNUMBER(SEARCH("faiblesse",$H198)),ISNUMBER(SEARCH("spastic",$H198))),"40.11",""),IF(OR(ISNUMBER(SEARCH("faiblesse",$H198)),ISNUMBER(SEARCH("spastic",$H198))),"35.02",""))</f>
        <v/>
      </c>
      <c r="Y198" s="2">
        <f>TEXTJOIN(" | ",TRUE,IF($I198="Oui","Vision: correction (lunettes/lentilles) selon bilan ophtalmo.",""),IF(OR(ISNUMBER(SEARCH("diplop",$J198)),ISNUMBER(SEARCH("occlus",$J198))),"Si diplopie: prisme/occlusion/couvre-œil si indiqué + avis oph.",""),IF(OR(ISNUMBER(SEARCH("main droite",$H198)),ISNUMBER(SEARCH("hémipar",$H198)),ISNUMBER(SEARCH("hemipar",$H198))),"Si déficit MS: privilégier véhicule à boîte automatique + aide au volant/commandes.",""),IF(OR(ISNUMBER(SEARCH("équilibre",$H198)),ISNUMBER(SEARCH("equilibre",$H198)),ISNUMBER(SEARCH("atax",$H198))),"Si instabilité: siège avec soutien latéral / accoudoir.",""),IF(OR(ISNUMBER(SEARCH("hémianops",$J198)),ISNUMBER(SEARCH("hemianops",$J198))),"Si champ visuel limité: dispositifs de vision angle mort (si compatible) + avis spécialisé.",""))</f>
        <v/>
      </c>
    </row>
    <row r="199">
      <c r="T199" s="2">
        <f>IF($E199="&lt; 6 mois","FIN_A",IF($G199="Oui","FIN_A",IF($I199="Oui",IFERROR(IF(OR(ISNUMBER(SEARCH("hémianops",$J199)),ISNUMBER(SEARCH("hemianops",$J199)),ISNUMBER(SEARCH("quadranops",$J199)),ISNUMBER(SEARCH("diplop",$J199)),ISNUMBER(SEARCH("nystag",$J199)),ISNUMBER(SEARCH("saccad",$J199))),"FIN_A","FIN_E"),"FIN_E"),IF($K199="Oui","FIN_C",IF($M199="Oui","FIN_A",IF($N199="Oui","FIN_A",IF($O199="Oui","FIN_A",IF($P199="Oui","FIN_A",IF($Q199="Oui","FIN_D",IF($R199="Non","FIN_E",IF($S199="Oui","FIN_A","FIN_D"))))))))))))</f>
        <v/>
      </c>
      <c r="X199" s="2">
        <f>TEXTJOIN(", ",TRUE,IF($I199="Oui",IF(ISNUMBER(SEARCH("lent",$J199)),"01.02",IF(ISNUMBER(SEARCH("lunett",$J199)),"01.01","01.06")),""),IF(OR(ISNUMBER(SEARCH("diplop",$J199)),ISNUMBER(SEARCH("couvre",$J199)),ISNUMBER(SEARCH("occlus",$J199))),"01.05",""),IF(OR(ISNUMBER(SEARCH("main droite",$H199)),ISNUMBER(SEARCH("faiblesse droite",$H199)),ISNUMBER(SEARCH("hémipar",$H199)),ISNUMBER(SEARCH("hemipar",$H199))),"78",""),IF(OR(ISNUMBER(SEARCH("main",$H199)),ISNUMBER(SEARCH("membre supérieur",$H199)),ISNUMBER(SEARCH("membre superieur",$H199))),"03.01",""),IF(OR(ISNUMBER(SEARCH("équilibre",$H199)),ISNUMBER(SEARCH("equilibre",$H199)),ISNUMBER(SEARCH("atax",$H199))),"43.03",""),IF(OR(ISNUMBER(SEARCH("champ visuel",$J199)),ISNUMBER(SEARCH("hémianops",$J199)),ISNUMBER(SEARCH("hemianops",$J199))),"42.05",""),IF(OR(ISNUMBER(SEARCH("faiblesse",$H199)),ISNUMBER(SEARCH("spastic",$H199))),"40.11",""),IF(OR(ISNUMBER(SEARCH("faiblesse",$H199)),ISNUMBER(SEARCH("spastic",$H199))),"35.02",""))</f>
        <v/>
      </c>
      <c r="Y199" s="2">
        <f>TEXTJOIN(" | ",TRUE,IF($I199="Oui","Vision: correction (lunettes/lentilles) selon bilan ophtalmo.",""),IF(OR(ISNUMBER(SEARCH("diplop",$J199)),ISNUMBER(SEARCH("occlus",$J199))),"Si diplopie: prisme/occlusion/couvre-œil si indiqué + avis oph.",""),IF(OR(ISNUMBER(SEARCH("main droite",$H199)),ISNUMBER(SEARCH("hémipar",$H199)),ISNUMBER(SEARCH("hemipar",$H199))),"Si déficit MS: privilégier véhicule à boîte automatique + aide au volant/commandes.",""),IF(OR(ISNUMBER(SEARCH("équilibre",$H199)),ISNUMBER(SEARCH("equilibre",$H199)),ISNUMBER(SEARCH("atax",$H199))),"Si instabilité: siège avec soutien latéral / accoudoir.",""),IF(OR(ISNUMBER(SEARCH("hémianops",$J199)),ISNUMBER(SEARCH("hemianops",$J199))),"Si champ visuel limité: dispositifs de vision angle mort (si compatible) + avis spécialisé.",""))</f>
        <v/>
      </c>
    </row>
    <row r="200">
      <c r="T200" s="2">
        <f>IF($E200="&lt; 6 mois","FIN_A",IF($G200="Oui","FIN_A",IF($I200="Oui",IFERROR(IF(OR(ISNUMBER(SEARCH("hémianops",$J200)),ISNUMBER(SEARCH("hemianops",$J200)),ISNUMBER(SEARCH("quadranops",$J200)),ISNUMBER(SEARCH("diplop",$J200)),ISNUMBER(SEARCH("nystag",$J200)),ISNUMBER(SEARCH("saccad",$J200))),"FIN_A","FIN_E"),"FIN_E"),IF($K200="Oui","FIN_C",IF($M200="Oui","FIN_A",IF($N200="Oui","FIN_A",IF($O200="Oui","FIN_A",IF($P200="Oui","FIN_A",IF($Q200="Oui","FIN_D",IF($R200="Non","FIN_E",IF($S200="Oui","FIN_A","FIN_D"))))))))))))</f>
        <v/>
      </c>
      <c r="X200" s="2">
        <f>TEXTJOIN(", ",TRUE,IF($I200="Oui",IF(ISNUMBER(SEARCH("lent",$J200)),"01.02",IF(ISNUMBER(SEARCH("lunett",$J200)),"01.01","01.06")),""),IF(OR(ISNUMBER(SEARCH("diplop",$J200)),ISNUMBER(SEARCH("couvre",$J200)),ISNUMBER(SEARCH("occlus",$J200))),"01.05",""),IF(OR(ISNUMBER(SEARCH("main droite",$H200)),ISNUMBER(SEARCH("faiblesse droite",$H200)),ISNUMBER(SEARCH("hémipar",$H200)),ISNUMBER(SEARCH("hemipar",$H200))),"78",""),IF(OR(ISNUMBER(SEARCH("main",$H200)),ISNUMBER(SEARCH("membre supérieur",$H200)),ISNUMBER(SEARCH("membre superieur",$H200))),"03.01",""),IF(OR(ISNUMBER(SEARCH("équilibre",$H200)),ISNUMBER(SEARCH("equilibre",$H200)),ISNUMBER(SEARCH("atax",$H200))),"43.03",""),IF(OR(ISNUMBER(SEARCH("champ visuel",$J200)),ISNUMBER(SEARCH("hémianops",$J200)),ISNUMBER(SEARCH("hemianops",$J200))),"42.05",""),IF(OR(ISNUMBER(SEARCH("faiblesse",$H200)),ISNUMBER(SEARCH("spastic",$H200))),"40.11",""),IF(OR(ISNUMBER(SEARCH("faiblesse",$H200)),ISNUMBER(SEARCH("spastic",$H200))),"35.02",""))</f>
        <v/>
      </c>
      <c r="Y200" s="2">
        <f>TEXTJOIN(" | ",TRUE,IF($I200="Oui","Vision: correction (lunettes/lentilles) selon bilan ophtalmo.",""),IF(OR(ISNUMBER(SEARCH("diplop",$J200)),ISNUMBER(SEARCH("occlus",$J200))),"Si diplopie: prisme/occlusion/couvre-œil si indiqué + avis oph.",""),IF(OR(ISNUMBER(SEARCH("main droite",$H200)),ISNUMBER(SEARCH("hémipar",$H200)),ISNUMBER(SEARCH("hemipar",$H200))),"Si déficit MS: privilégier véhicule à boîte automatique + aide au volant/commandes.",""),IF(OR(ISNUMBER(SEARCH("équilibre",$H200)),ISNUMBER(SEARCH("equilibre",$H200)),ISNUMBER(SEARCH("atax",$H200))),"Si instabilité: siège avec soutien latéral / accoudoir.",""),IF(OR(ISNUMBER(SEARCH("hémianops",$J200)),ISNUMBER(SEARCH("hemianops",$J200))),"Si champ visuel limité: dispositifs de vision angle mort (si compatible) + avis spécialisé.",""))</f>
        <v/>
      </c>
    </row>
  </sheetData>
  <dataValidations count="7">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1" type="list">
      <formula1>"G1,G2"</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DropDown="0" showInputMessage="0" showErrorMessage="0" allowBlank="1" type="list">
      <formula1>"&lt; 6 mois,≥ 6 mois,Inconnue"</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showDropDown="0" showInputMessage="0" showErrorMessage="0" allowBlank="1" type="list">
      <formula1>"AVC ischémique,AVC hémorragique,AIT,Autre,Inconnu"</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howDropDown="0" showInputMessage="0" showErrorMessage="0" allowBlank="1" type="list">
      <formula1>"Oui,Non"</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showDropDown="0" showInputMessage="0" showErrorMessage="0" allowBlank="1" type="list">
      <formula1>"6 mois,1 an,2 ans,5 ans"</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showDropDown="0" showInputMessage="0" showErrorMessage="0" allowBlank="1" type="list">
      <formula1>"1 mois,6 semaines,3 mois,6 mois,1 an"</formula1>
    </dataValidation>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showDropDown="0" showInputMessage="0" showErrorMessage="0" allowBlank="1" type="list">
      <formula1>"FIN_A,FIN_B,FIN_C,FIN_D,FIN_E,FIN_F"</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40" customWidth="1" min="3" max="3"/>
    <col width="55" customWidth="1" min="4" max="4"/>
  </cols>
  <sheetData>
    <row r="1">
      <c r="A1" s="1" t="inlineStr">
        <is>
          <t>Symptôme / besoin</t>
        </is>
      </c>
      <c r="B1" s="1" t="inlineStr">
        <is>
          <t>Codes possibles</t>
        </is>
      </c>
      <c r="C1" s="1" t="inlineStr">
        <is>
          <t>Libellé (résumé)</t>
        </is>
      </c>
      <c r="D1" s="1" t="inlineStr">
        <is>
          <t>Commentaires</t>
        </is>
      </c>
    </row>
    <row r="2">
      <c r="A2" s="2" t="inlineStr">
        <is>
          <t>Trouble visuel nécessitant correction</t>
        </is>
      </c>
      <c r="B2" s="2" t="inlineStr">
        <is>
          <t>01.01 / 01.02 / 01.06</t>
        </is>
      </c>
      <c r="C2" s="2" t="inlineStr">
        <is>
          <t>Lunettes / Lentilles / Lunettes ou lentilles</t>
        </is>
      </c>
      <c r="D2" s="2" t="inlineStr">
        <is>
          <t>À sélectionner selon l’équipement réel.</t>
        </is>
      </c>
    </row>
    <row r="3">
      <c r="A3" s="2" t="inlineStr">
        <is>
          <t>Diplopie nécessitant occlusion</t>
        </is>
      </c>
      <c r="B3" s="2" t="inlineStr">
        <is>
          <t>01.05</t>
        </is>
      </c>
      <c r="C3" s="2" t="inlineStr">
        <is>
          <t>Couvre-œil</t>
        </is>
      </c>
      <c r="D3" s="2" t="inlineStr">
        <is>
          <t>Si correction/occlusion prescrite et tolérée + avis oph.</t>
        </is>
      </c>
    </row>
    <row r="4">
      <c r="A4" s="2" t="inlineStr">
        <is>
          <t>Faiblesse / limitation membre supérieur</t>
        </is>
      </c>
      <c r="B4" s="2" t="inlineStr">
        <is>
          <t>03.01</t>
        </is>
      </c>
      <c r="C4" s="2" t="inlineStr">
        <is>
          <t>Prothèse/orthèse membre(s) supérieur(s)</t>
        </is>
      </c>
      <c r="D4" s="2" t="inlineStr">
        <is>
          <t>Si appareillage/orthèse utilisée.</t>
        </is>
      </c>
    </row>
    <row r="5">
      <c r="A5" s="2" t="inlineStr">
        <is>
          <t>Déficit membre supérieur impactant commande</t>
        </is>
      </c>
      <c r="B5" s="2" t="inlineStr">
        <is>
          <t>78 / 10.02</t>
        </is>
      </c>
      <c r="C5" s="2" t="inlineStr">
        <is>
          <t>Véhicule à vitesse automatique / Choix transmission automatique</t>
        </is>
      </c>
      <c r="D5" s="2" t="inlineStr">
        <is>
          <t>Exemple: faiblesse main droite → boîte automatique recommandée.</t>
        </is>
      </c>
    </row>
    <row r="6">
      <c r="A6" s="2" t="inlineStr">
        <is>
          <t>Besoin d’assistance au volant</t>
        </is>
      </c>
      <c r="B6" s="2" t="inlineStr">
        <is>
          <t>40.11</t>
        </is>
      </c>
      <c r="C6" s="2" t="inlineStr">
        <is>
          <t>Dispositif d'assistance sur le volant</t>
        </is>
      </c>
      <c r="D6" s="2" t="inlineStr">
        <is>
          <t>Ex: boule au volant, système d’aide.</t>
        </is>
      </c>
    </row>
    <row r="7">
      <c r="A7" s="2" t="inlineStr">
        <is>
          <t>Commandes sans lâcher le volant</t>
        </is>
      </c>
      <c r="B7" s="2" t="inlineStr">
        <is>
          <t>35.02</t>
        </is>
      </c>
      <c r="C7" s="2" t="inlineStr">
        <is>
          <t>Dispositifs actionnables sans lâcher la direction</t>
        </is>
      </c>
      <c r="D7" s="2" t="inlineStr">
        <is>
          <t>Ex: regroupement commandes, adaptation commodos.</t>
        </is>
      </c>
    </row>
    <row r="8">
      <c r="A8" s="2" t="inlineStr">
        <is>
          <t>Champ visuel limité / angle mort</t>
        </is>
      </c>
      <c r="B8" s="2" t="inlineStr">
        <is>
          <t>42.05</t>
        </is>
      </c>
      <c r="C8" s="2" t="inlineStr">
        <is>
          <t>Dispositif de vision d'angle mort</t>
        </is>
      </c>
      <c r="D8" s="2" t="inlineStr">
        <is>
          <t>Si compatible avec l’état visuel et validé.</t>
        </is>
      </c>
    </row>
    <row r="9">
      <c r="A9" s="2" t="inlineStr">
        <is>
          <t>Instabilité posturale</t>
        </is>
      </c>
      <c r="B9" s="2" t="inlineStr">
        <is>
          <t>43.03 / 43.04</t>
        </is>
      </c>
      <c r="C9" s="2" t="inlineStr">
        <is>
          <t>Siège soutien latéral / accoudoir</t>
        </is>
      </c>
      <c r="D9" s="2" t="inlineStr">
        <is>
          <t>Pour stabilité du tronc si séquelles motrices.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6" customWidth="1" min="3" max="3"/>
    <col width="12" customWidth="1" min="4" max="4"/>
    <col width="18" customWidth="1" min="5" max="5"/>
    <col width="16" customWidth="1" min="6" max="6"/>
    <col width="44" customWidth="1" min="7" max="7"/>
    <col width="26" customWidth="1" min="8" max="8"/>
    <col width="44" customWidth="1" min="9" max="9"/>
  </cols>
  <sheetData>
    <row r="1">
      <c r="A1" s="1" t="inlineStr">
        <is>
          <t>RuleID</t>
        </is>
      </c>
      <c r="B1" s="1" t="inlineStr">
        <is>
          <t>Thème</t>
        </is>
      </c>
      <c r="C1" s="1" t="inlineStr">
        <is>
          <t>Déclencheur (données)</t>
        </is>
      </c>
      <c r="D1" s="1" t="inlineStr">
        <is>
          <t>Contexte</t>
        </is>
      </c>
      <c r="E1" s="1" t="inlineStr">
        <is>
          <t>Recommandation (FIN_*)</t>
        </is>
      </c>
      <c r="F1" s="1" t="inlineStr">
        <is>
          <t>Durée suggérée</t>
        </is>
      </c>
      <c r="G1" s="1" t="inlineStr">
        <is>
          <t>Justification (clinique)</t>
        </is>
      </c>
      <c r="H1" s="1" t="inlineStr">
        <is>
          <t>Référence réglementaire</t>
        </is>
      </c>
      <c r="I1" s="1" t="inlineStr">
        <is>
          <t>Note médico-légale / UI</t>
        </is>
      </c>
    </row>
    <row r="2">
      <c r="A2" s="2" t="inlineStr">
        <is>
          <t>W1</t>
        </is>
      </c>
      <c r="B2" s="2" t="inlineStr">
        <is>
          <t>Principe</t>
        </is>
      </c>
      <c r="C2" s="2" t="inlineStr">
        <is>
          <t>AVC/AIT : état non stabilisé</t>
        </is>
      </c>
      <c r="D2" s="2" t="inlineStr">
        <is>
          <t>G1/G2</t>
        </is>
      </c>
      <c r="E2" s="2" t="inlineStr">
        <is>
          <t>FIN_A</t>
        </is>
      </c>
      <c r="F2" s="2" t="inlineStr">
        <is>
          <t>DUREE_INAPTE_TEMP</t>
        </is>
      </c>
      <c r="G2" s="2" t="inlineStr">
        <is>
          <t>Ne pas (re)conduire tant que l'état n'est pas stabilisé ; stabilité clinique &gt; délai fixe.</t>
        </is>
      </c>
      <c r="H2" s="2" t="inlineStr">
        <is>
          <t>Arrêté 28/03/2022 art 4.4.3 / 4.4.3.2</t>
        </is>
      </c>
      <c r="I2" s="2" t="inlineStr">
        <is>
          <t>Afficher: 'Pas de délai chiffré officiel ; stabilisation requise'</t>
        </is>
      </c>
    </row>
    <row r="3">
      <c r="A3" s="2" t="inlineStr">
        <is>
          <t>W2</t>
        </is>
      </c>
      <c r="B3" s="2" t="inlineStr">
        <is>
          <t>Phase aiguë</t>
        </is>
      </c>
      <c r="C3" s="2" t="inlineStr">
        <is>
          <t>&lt; 6 mois OU bilan étiologique incomplet / traitement non stabilisé</t>
        </is>
      </c>
      <c r="D3" s="2" t="inlineStr">
        <is>
          <t>G1</t>
        </is>
      </c>
      <c r="E3" s="2" t="inlineStr">
        <is>
          <t>FIN_A</t>
        </is>
      </c>
      <c r="F3" s="2" t="inlineStr">
        <is>
          <t>DUREE_INAPTE_TEMP</t>
        </is>
      </c>
      <c r="G3" s="2" t="inlineStr">
        <is>
          <t>Phase post-aiguë : risque + incertitude ; réévaluer avec éléments objectifs.</t>
        </is>
      </c>
      <c r="H3" s="2" t="inlineStr">
        <is>
          <t>Pratique experte + Arrêté 28/03/2022</t>
        </is>
      </c>
      <c r="I3" s="2" t="inlineStr">
        <is>
          <t>Suggérer recontrôle 4-6 semaines minimum ; éviter 'J6'</t>
        </is>
      </c>
    </row>
    <row r="4">
      <c r="A4" s="2" t="inlineStr">
        <is>
          <t>W3</t>
        </is>
      </c>
      <c r="B4" s="2" t="inlineStr">
        <is>
          <t>Phase stabilisée</t>
        </is>
      </c>
      <c r="C4" s="2" t="inlineStr">
        <is>
          <t>Stabilité clinique + pas de récidive + examen neuro normal + avis neuro de contrôle</t>
        </is>
      </c>
      <c r="D4" s="2" t="inlineStr">
        <is>
          <t>G1</t>
        </is>
      </c>
      <c r="E4" s="2" t="inlineStr">
        <is>
          <t>FIN_D</t>
        </is>
      </c>
      <c r="F4" s="2" t="inlineStr">
        <is>
          <t>DUREE_APTE_TEMP</t>
        </is>
      </c>
      <c r="G4" s="2" t="inlineStr">
        <is>
          <t>Aptitude temporaire prudente ; risque de récidive majoritairement 1ère année.</t>
        </is>
      </c>
      <c r="H4" s="2" t="inlineStr">
        <is>
          <t>Arrêté 28/03/2022 + pratique experte</t>
        </is>
      </c>
      <c r="I4" s="2" t="inlineStr">
        <is>
          <t>Durée fréquente: 6 mois, renouvelable 1 fois (→ 1 an).</t>
        </is>
      </c>
    </row>
    <row r="5">
      <c r="A5" s="2" t="inlineStr">
        <is>
          <t>W4</t>
        </is>
      </c>
      <c r="B5" s="2" t="inlineStr">
        <is>
          <t>Sortie de surveillance</t>
        </is>
      </c>
      <c r="C5" s="2" t="inlineStr">
        <is>
          <t>Surveillance terminée + plus de critère justifiant un suivi spécifique</t>
        </is>
      </c>
      <c r="D5" s="2" t="inlineStr">
        <is>
          <t>G1</t>
        </is>
      </c>
      <c r="E5" s="2" t="inlineStr">
        <is>
          <t>FIN_D</t>
        </is>
      </c>
      <c r="F5" s="2" t="inlineStr">
        <is>
          <t>Durée réglementaire</t>
        </is>
      </c>
      <c r="G5" s="2" t="inlineStr">
        <is>
          <t>Retour au droit commun (durée administrative).</t>
        </is>
      </c>
      <c r="H5" s="2" t="inlineStr">
        <is>
          <t>Rappel permis 2018</t>
        </is>
      </c>
      <c r="I5" s="2" t="inlineStr">
        <is>
          <t>Éviter 'définitif' ; utiliser 'durée réglementaire'.</t>
        </is>
      </c>
    </row>
    <row r="6">
      <c r="A6" s="2" t="inlineStr">
        <is>
          <t>W5</t>
        </is>
      </c>
      <c r="B6" s="2" t="inlineStr">
        <is>
          <t>Responsabilité</t>
        </is>
      </c>
      <c r="C6" s="2" t="inlineStr">
        <is>
          <t>Courrier spécialiste favorable</t>
        </is>
      </c>
      <c r="D6" s="2" t="inlineStr">
        <is>
          <t>Tous</t>
        </is>
      </c>
      <c r="E6" s="2" t="inlineStr">
        <is>
          <t>INFO</t>
        </is>
      </c>
      <c r="F6" s="2" t="inlineStr">
        <is>
          <t>-</t>
        </is>
      </c>
      <c r="G6" s="2" t="inlineStr">
        <is>
          <t>L'avis spécialiste aide mais n'exonère pas ; décision du MA.</t>
        </is>
      </c>
      <c r="H6" s="2" t="inlineStr">
        <is>
          <t>-</t>
        </is>
      </c>
      <c r="I6" s="2" t="inlineStr">
        <is>
          <t>Toujours afficher: 'Signature MA engage responsabilité'.</t>
        </is>
      </c>
    </row>
    <row r="7">
      <c r="A7" s="2" t="inlineStr">
        <is>
          <t>W6</t>
        </is>
      </c>
      <c r="B7" s="2" t="inlineStr">
        <is>
          <t>Case 6 CERFA</t>
        </is>
      </c>
      <c r="C7" s="2" t="inlineStr">
        <is>
          <t>Cas complexe / incertitude / discordance</t>
        </is>
      </c>
      <c r="D7" s="2" t="inlineStr">
        <is>
          <t>Tous</t>
        </is>
      </c>
      <c r="E7" s="2" t="inlineStr">
        <is>
          <t>OPTION_CASE6</t>
        </is>
      </c>
      <c r="F7" s="2" t="inlineStr">
        <is>
          <t>-</t>
        </is>
      </c>
      <c r="G7" s="2" t="inlineStr">
        <is>
          <t>Option de sécurité: évaluation collégiale en commission.</t>
        </is>
      </c>
      <c r="H7" s="2" t="inlineStr">
        <is>
          <t>CERFA (procédure)</t>
        </is>
      </c>
      <c r="I7" s="2" t="inlineStr">
        <is>
          <t>Présenter comme choix médical légitime, pas fuite.</t>
        </is>
      </c>
    </row>
    <row r="8">
      <c r="A8" s="2" t="inlineStr">
        <is>
          <t>W7</t>
        </is>
      </c>
      <c r="B8" s="2" t="inlineStr">
        <is>
          <t>FOP sujet jeune</t>
        </is>
      </c>
      <c r="C8" s="2" t="inlineStr">
        <is>
          <t>AVC sur FOP + récupération totale</t>
        </is>
      </c>
      <c r="D8" s="2" t="inlineStr">
        <is>
          <t>G1</t>
        </is>
      </c>
      <c r="E8" s="2" t="inlineStr">
        <is>
          <t>FIN_D</t>
        </is>
      </c>
      <c r="F8" s="2" t="inlineStr">
        <is>
          <t>6 mois</t>
        </is>
      </c>
      <c r="G8" s="2" t="inlineStr">
        <is>
          <t>Récidive surtout 1ère année ; discussion intervention FOP.</t>
        </is>
      </c>
      <c r="H8" s="2" t="inlineStr">
        <is>
          <t>-</t>
        </is>
      </c>
      <c r="I8" s="2" t="inlineStr">
        <is>
          <t>UI: 'Intervention FOP prévue ?' → prudence avant geste.</t>
        </is>
      </c>
    </row>
    <row r="9">
      <c r="A9" s="2" t="inlineStr">
        <is>
          <t>W8</t>
        </is>
      </c>
      <c r="B9" s="2" t="inlineStr">
        <is>
          <t>Atteinte visuelle récupérée</t>
        </is>
      </c>
      <c r="C9" s="2" t="inlineStr">
        <is>
          <t>Déficit visuel initial récupéré (avis oph + neuro favorables)</t>
        </is>
      </c>
      <c r="D9" s="2" t="inlineStr">
        <is>
          <t>G1</t>
        </is>
      </c>
      <c r="E9" s="2" t="inlineStr">
        <is>
          <t>FIN_D</t>
        </is>
      </c>
      <c r="F9" s="2" t="inlineStr">
        <is>
          <t>6 mois</t>
        </is>
      </c>
      <c r="G9" s="2" t="inlineStr">
        <is>
          <t>Compatible mais pas immédiat ; doc objective requise.</t>
        </is>
      </c>
      <c r="H9" s="2" t="inlineStr">
        <is>
          <t>-</t>
        </is>
      </c>
      <c r="I9" s="2" t="inlineStr">
        <is>
          <t>Exiger bilan ophtalmo récent favorable.</t>
        </is>
      </c>
    </row>
    <row r="10">
      <c r="A10" s="2" t="inlineStr">
        <is>
          <t>W9</t>
        </is>
      </c>
      <c r="B10" s="2" t="inlineStr">
        <is>
          <t>Séquelle persistante</t>
        </is>
      </c>
      <c r="C10" s="2" t="inlineStr">
        <is>
          <t>Hémiparésie même minime / rééducation en cours</t>
        </is>
      </c>
      <c r="D10" s="2" t="inlineStr">
        <is>
          <t>G1</t>
        </is>
      </c>
      <c r="E10" s="2" t="inlineStr">
        <is>
          <t>FIN_A</t>
        </is>
      </c>
      <c r="F10" s="2" t="inlineStr">
        <is>
          <t>DUREE_INAPTE_TEMP</t>
        </is>
      </c>
      <c r="G10" s="2" t="inlineStr">
        <is>
          <t>Non consolidé ; prudence.</t>
        </is>
      </c>
      <c r="H10" s="2" t="inlineStr">
        <is>
          <t>-</t>
        </is>
      </c>
      <c r="I10" s="2" t="inlineStr">
        <is>
          <t>Orienter vers équipe pluridisciplinaire / ergo / test conduite si besoin.</t>
        </is>
      </c>
    </row>
    <row r="11">
      <c r="A11" s="2" t="inlineStr">
        <is>
          <t>W10</t>
        </is>
      </c>
      <c r="B11" s="2" t="inlineStr">
        <is>
          <t>Inaptitude non définitive</t>
        </is>
      </c>
      <c r="C11" s="2" t="inlineStr">
        <is>
          <t>Cause corrigible (ex. cataracte)</t>
        </is>
      </c>
      <c r="D11" s="2" t="inlineStr">
        <is>
          <t>Tous</t>
        </is>
      </c>
      <c r="E11" s="2" t="inlineStr">
        <is>
          <t>INFO</t>
        </is>
      </c>
      <c r="F11" s="2" t="inlineStr">
        <is>
          <t>-</t>
        </is>
      </c>
      <c r="G11" s="2" t="inlineStr">
        <is>
          <t>Inaptitude levable si cause corrigée + nouvelle visite.</t>
        </is>
      </c>
      <c r="H11" s="2" t="inlineStr">
        <is>
          <t>-</t>
        </is>
      </c>
      <c r="I11" s="2" t="inlineStr">
        <is>
          <t>UI: rassurer patient ; expliquer réévaluation possible.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Key</t>
        </is>
      </c>
      <c r="B1" s="1" t="inlineStr">
        <is>
          <t>Texte UI (à afficher dans l’assistant)</t>
        </is>
      </c>
    </row>
    <row r="2">
      <c r="A2" s="2" t="inlineStr">
        <is>
          <t>RESP_MA</t>
        </is>
      </c>
      <c r="B2" s="2" t="inlineStr">
        <is>
          <t>⚠️ La signature engage la responsabilité du médecin agréé. Les avis spécialisés sont des éléments d’aide, pas une décision.</t>
        </is>
      </c>
    </row>
    <row r="3">
      <c r="A3" s="2" t="inlineStr">
        <is>
          <t>STABILISATION</t>
        </is>
      </c>
      <c r="B3" s="2" t="inlineStr">
        <is>
          <t>📌 Principe : pas de délai chiffré officiel — la reprise n’est envisageable que lorsque l’état est stabilisé.</t>
        </is>
      </c>
    </row>
    <row r="4">
      <c r="A4" s="2" t="inlineStr">
        <is>
          <t>PAS_DEFINITIF</t>
        </is>
      </c>
      <c r="B4" s="2" t="inlineStr">
        <is>
          <t>ℹ️ On évite le terme 'définitif' : le permis a une durée administrative (ex. 15 ans). La surveillance médicale n’est appliquée que si nécessaire.</t>
        </is>
      </c>
    </row>
    <row r="5">
      <c r="A5" s="2" t="inlineStr">
        <is>
          <t>CASE6</t>
        </is>
      </c>
      <c r="B5" s="2" t="inlineStr">
        <is>
          <t>🛡️ Option sécurité : si situation complexe/incertaine, renvoi en commission (case 6) possible.</t>
        </is>
      </c>
    </row>
    <row r="6">
      <c r="A6" s="2" t="inlineStr">
        <is>
          <t>INAPTE_LEVABLE</t>
        </is>
      </c>
      <c r="B6" s="2" t="inlineStr">
        <is>
          <t>✅ Une inaptitude peut être levée si la cause est corrigée et qu’une nouvelle visite conclut à l’aptitude.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4" customWidth="1" min="3" max="3"/>
    <col width="36" customWidth="1" min="4" max="4"/>
    <col width="34" customWidth="1" min="5" max="5"/>
    <col width="20" customWidth="1" min="6" max="6"/>
    <col width="20" customWidth="1" min="7" max="7"/>
    <col width="28" customWidth="1" min="8" max="8"/>
    <col width="18" customWidth="1" min="9" max="9"/>
    <col width="26" customWidth="1" min="10" max="10"/>
    <col width="26" customWidth="1" min="11" max="11"/>
    <col width="34" customWidth="1" min="12" max="12"/>
    <col width="18" customWidth="1" min="13" max="13"/>
    <col width="14" customWidth="1" min="14" max="14"/>
  </cols>
  <sheetData>
    <row r="1">
      <c r="A1" s="1" t="inlineStr">
        <is>
          <t>RuleID</t>
        </is>
      </c>
      <c r="B1" s="1" t="inlineStr">
        <is>
          <t>Priority (1=highest)</t>
        </is>
      </c>
      <c r="C1" s="1" t="inlineStr">
        <is>
          <t>Scope (G1/G2/ALL)</t>
        </is>
      </c>
      <c r="D1" s="1" t="inlineStr">
        <is>
          <t>When ALL (JSON)</t>
        </is>
      </c>
      <c r="E1" s="1" t="inlineStr">
        <is>
          <t>When ANY (JSON)</t>
        </is>
      </c>
      <c r="F1" s="1" t="inlineStr">
        <is>
          <t>When NOT (JSON)</t>
        </is>
      </c>
      <c r="G1" s="1" t="inlineStr">
        <is>
          <t>Decision Code (FIN_*/CASE6/INFO)</t>
        </is>
      </c>
      <c r="H1" s="1" t="inlineStr">
        <is>
          <t>Decision Label</t>
        </is>
      </c>
      <c r="I1" s="1" t="inlineStr">
        <is>
          <t>Duration (value or var)</t>
        </is>
      </c>
      <c r="J1" s="1" t="inlineStr">
        <is>
          <t>Actions (JSON)</t>
        </is>
      </c>
      <c r="K1" s="1" t="inlineStr">
        <is>
          <t>Required Evidence (JSON)</t>
        </is>
      </c>
      <c r="L1" s="1" t="inlineStr">
        <is>
          <t>Contraindications / Notes</t>
        </is>
      </c>
      <c r="M1" s="1" t="inlineStr">
        <is>
          <t>UI Snippet Key(s)</t>
        </is>
      </c>
      <c r="N1" s="1" t="inlineStr">
        <is>
          <t>Confidence (0-1)</t>
        </is>
      </c>
    </row>
    <row r="2">
      <c r="A2" s="2" t="inlineStr">
        <is>
          <t>MR1</t>
        </is>
      </c>
      <c r="B2" s="2" t="n">
        <v>1</v>
      </c>
      <c r="C2" s="2" t="inlineStr">
        <is>
          <t>ALL</t>
        </is>
      </c>
      <c r="D2" s="2" t="inlineStr">
        <is>
          <t>[{"fact": "event.within_6_months", "op": "==", "value": true}]</t>
        </is>
      </c>
      <c r="E2" s="2" t="inlineStr">
        <is>
          <t>[]</t>
        </is>
      </c>
      <c r="F2" s="2" t="inlineStr">
        <is>
          <t>[]</t>
        </is>
      </c>
      <c r="G2" s="2" t="inlineStr">
        <is>
          <t>FIN_A</t>
        </is>
      </c>
      <c r="H2" s="2" t="inlineStr">
        <is>
          <t>INAPTE TEMPORAIRE</t>
        </is>
      </c>
      <c r="I2" s="2" t="inlineStr">
        <is>
          <t>DUREE_INAPTE_TEMP</t>
        </is>
      </c>
      <c r="J2" s="2" t="inlineStr">
        <is>
          <t>[{"type": "set_recheck", "value": "6_months_post_event"}, {"type": "show_snippet", "key": "STABILISATION"}, {"type": "show_snippet", "key": "RESP_MA"}]</t>
        </is>
      </c>
      <c r="K2" s="2" t="inlineStr">
        <is>
          <t>[{"type": "need", "value": "date_event"}]</t>
        </is>
      </c>
      <c r="L2" s="2" t="inlineStr">
        <is>
          <t>Si &lt;6 mois : inaptitude temporaire jusqu’à réévaluation à 6 mois post-évènement (logique prudente).</t>
        </is>
      </c>
      <c r="M2" s="2" t="inlineStr">
        <is>
          <t>STABILISATION;RESP_MA</t>
        </is>
      </c>
      <c r="N2" s="2" t="n">
        <v>0.85</v>
      </c>
    </row>
    <row r="3">
      <c r="A3" s="2" t="inlineStr">
        <is>
          <t>MR2</t>
        </is>
      </c>
      <c r="B3" s="2" t="n">
        <v>2</v>
      </c>
      <c r="C3" s="2" t="inlineStr">
        <is>
          <t>ALL</t>
        </is>
      </c>
      <c r="D3" s="2" t="inlineStr">
        <is>
          <t>[{"fact": "clinical.not_stable_or_worsening", "op": "==", "value": true}]</t>
        </is>
      </c>
      <c r="E3" s="2" t="inlineStr">
        <is>
          <t>[]</t>
        </is>
      </c>
      <c r="F3" s="2" t="inlineStr">
        <is>
          <t>[]</t>
        </is>
      </c>
      <c r="G3" s="2" t="inlineStr">
        <is>
          <t>FIN_A</t>
        </is>
      </c>
      <c r="H3" s="2" t="inlineStr">
        <is>
          <t>INAPTE TEMPORAIRE</t>
        </is>
      </c>
      <c r="I3" s="2" t="inlineStr">
        <is>
          <t>DUREE_INAPTE_TEMP</t>
        </is>
      </c>
      <c r="J3" s="2" t="inlineStr">
        <is>
          <t>[{"type": "require_specialist", "value": "neurologue"}, {"type": "show_snippet", "key": "STABILISATION"}]</t>
        </is>
      </c>
      <c r="K3" s="2" t="inlineStr">
        <is>
          <t>[{"type": "need", "value": "examen_neuro"}]</t>
        </is>
      </c>
      <c r="L3" s="2" t="inlineStr">
        <is>
          <t>Évolution non stabilisée/aggravation récente → inaptitude temporaire + avis neuro.</t>
        </is>
      </c>
      <c r="M3" s="2" t="inlineStr">
        <is>
          <t>STABILISATION</t>
        </is>
      </c>
      <c r="N3" s="2" t="n">
        <v>0.9</v>
      </c>
    </row>
    <row r="4">
      <c r="A4" s="2" t="inlineStr">
        <is>
          <t>MR3</t>
        </is>
      </c>
      <c r="B4" s="2" t="n">
        <v>3</v>
      </c>
      <c r="C4" s="2" t="inlineStr">
        <is>
          <t>ALL</t>
        </is>
      </c>
      <c r="D4" s="2" t="inlineStr">
        <is>
          <t>[{"fact": "rehab.in_progress_for_deficit", "op": "==", "value": true}]</t>
        </is>
      </c>
      <c r="E4" s="2" t="inlineStr">
        <is>
          <t>[]</t>
        </is>
      </c>
      <c r="F4" s="2" t="inlineStr">
        <is>
          <t>[]</t>
        </is>
      </c>
      <c r="G4" s="2" t="inlineStr">
        <is>
          <t>FIN_A</t>
        </is>
      </c>
      <c r="H4" s="2" t="inlineStr">
        <is>
          <t>INAPTE TEMPORAIRE</t>
        </is>
      </c>
      <c r="I4" s="2" t="inlineStr">
        <is>
          <t>DUREE_INAPTE_TEMP</t>
        </is>
      </c>
      <c r="J4" s="2" t="inlineStr">
        <is>
          <t>[{"type": "recommend", "value": "attendre_consolidation"}, {"type": "require_specialist", "value": "neurologue/medecin_MPR"}, {"type": "show_snippet", "key": "STABILISATION"}]</t>
        </is>
      </c>
      <c r="K4" s="2" t="inlineStr">
        <is>
          <t>[{"type": "need", "value": "bilan_reeducation"}]</t>
        </is>
      </c>
      <c r="L4" s="2" t="inlineStr">
        <is>
          <t>Rééducation en cours pour déficit non consolidé → prudence.</t>
        </is>
      </c>
      <c r="M4" s="2" t="inlineStr">
        <is>
          <t>STABILISATION</t>
        </is>
      </c>
      <c r="N4" s="2" t="n">
        <v>0.85</v>
      </c>
    </row>
    <row r="5">
      <c r="A5" s="2" t="inlineStr">
        <is>
          <t>MR4</t>
        </is>
      </c>
      <c r="B5" s="2" t="n">
        <v>4</v>
      </c>
      <c r="C5" s="2" t="inlineStr">
        <is>
          <t>ALL</t>
        </is>
      </c>
      <c r="D5" s="2" t="inlineStr">
        <is>
          <t>[{"fact": "neuro.major_motor_deficit", "op": "==", "value": true}]</t>
        </is>
      </c>
      <c r="E5" s="2" t="inlineStr">
        <is>
          <t>[]</t>
        </is>
      </c>
      <c r="F5" s="2" t="inlineStr">
        <is>
          <t>[]</t>
        </is>
      </c>
      <c r="G5" s="2" t="inlineStr">
        <is>
          <t>FIN_A</t>
        </is>
      </c>
      <c r="H5" s="2" t="inlineStr">
        <is>
          <t>INAPTE (temporaire ou avis spécialisé + aménagements)</t>
        </is>
      </c>
      <c r="I5" s="2" t="inlineStr">
        <is>
          <t>DUREE_INAPTE_TEMP</t>
        </is>
      </c>
      <c r="J5" s="2" t="inlineStr">
        <is>
          <t>[{"type": "consider_accommodations", "value": true}, {"type": "require_specialist", "value": "MPR/ergo"}]</t>
        </is>
      </c>
      <c r="K5" s="2" t="inlineStr">
        <is>
          <t>[{"type": "need", "value": "description_deficit_moteur"}]</t>
        </is>
      </c>
      <c r="L5" s="2" t="inlineStr">
        <is>
          <t>Déficit moteur/coordination significatif persistant : incompatibilité tant que non compensé.</t>
        </is>
      </c>
      <c r="M5" s="2" t="inlineStr">
        <is>
          <t>RESP_MA</t>
        </is>
      </c>
      <c r="N5" s="2" t="n">
        <v>0.9</v>
      </c>
    </row>
    <row r="6">
      <c r="A6" s="2" t="inlineStr">
        <is>
          <t>MR5</t>
        </is>
      </c>
      <c r="B6" s="2" t="n">
        <v>5</v>
      </c>
      <c r="C6" s="2" t="inlineStr">
        <is>
          <t>ALL</t>
        </is>
      </c>
      <c r="D6" s="2" t="inlineStr">
        <is>
          <t>[]</t>
        </is>
      </c>
      <c r="E6" s="2" t="inlineStr">
        <is>
          <t>[{"fact": "vision.hemianopsia_persistent", "op": "==", "value": true}]</t>
        </is>
      </c>
      <c r="F6" s="2" t="inlineStr">
        <is>
          <t>[]</t>
        </is>
      </c>
      <c r="G6" s="2" t="inlineStr">
        <is>
          <t>FIN_A</t>
        </is>
      </c>
      <c r="H6" s="2" t="inlineStr">
        <is>
          <t>INAPTE (tant que présent)</t>
        </is>
      </c>
      <c r="I6" s="2" t="inlineStr">
        <is>
          <t>DUREE_INAPTE_TEMP</t>
        </is>
      </c>
      <c r="J6" s="2" t="inlineStr">
        <is>
          <t>[{"type": "require_specialist", "value": "ophtalmologue"}, {"type": "recommend", "value": "compensation_documentee"}]</t>
        </is>
      </c>
      <c r="K6" s="2" t="inlineStr">
        <is>
          <t>[{"type": "need", "value": "bilan_ophtalmo_recent"}]</t>
        </is>
      </c>
      <c r="L6" s="2" t="inlineStr">
        <is>
          <t>Hémianopsie persistante : risque majeur de non-détection des obstacles.</t>
        </is>
      </c>
      <c r="M6" s="2" t="inlineStr">
        <is>
          <t>RESP_MA</t>
        </is>
      </c>
      <c r="N6" s="2" t="n">
        <v>0.95</v>
      </c>
    </row>
    <row r="7">
      <c r="A7" s="2" t="inlineStr">
        <is>
          <t>MR6</t>
        </is>
      </c>
      <c r="B7" s="2" t="n">
        <v>6</v>
      </c>
      <c r="C7" s="2" t="inlineStr">
        <is>
          <t>ALL</t>
        </is>
      </c>
      <c r="D7" s="2" t="inlineStr">
        <is>
          <t>[]</t>
        </is>
      </c>
      <c r="E7" s="2" t="inlineStr">
        <is>
          <t>[{"fact": "vision.diplopia_persistent", "op": "==", "value": true}, {"fact": "vision.quadranopsia", "op": "==", "value": true}, {"fact": "vision.oculomotor_instability", "op": "==", "value": true}]</t>
        </is>
      </c>
      <c r="F7" s="2" t="inlineStr">
        <is>
          <t>[]</t>
        </is>
      </c>
      <c r="G7" s="2" t="inlineStr">
        <is>
          <t>FIN_A</t>
        </is>
      </c>
      <c r="H7" s="2" t="inlineStr">
        <is>
          <t>INAPTE TEMPORAIRE</t>
        </is>
      </c>
      <c r="I7" s="2" t="inlineStr">
        <is>
          <t>DUREE_INAPTE_TEMP</t>
        </is>
      </c>
      <c r="J7" s="2" t="inlineStr">
        <is>
          <t>[{"type": "require_specialist", "value": "ophtalmologue"}, {"type": "recommend", "value": "stabilisation_correction"}]</t>
        </is>
      </c>
      <c r="K7" s="2" t="inlineStr">
        <is>
          <t>[{"type": "need", "value": "bilan_ophtalmo_recent"}]</t>
        </is>
      </c>
      <c r="L7" s="2" t="inlineStr">
        <is>
          <t>Troubles visuels significatifs : inaptitude temporaire jusqu’à correction/stabilisation.</t>
        </is>
      </c>
      <c r="M7" s="2" t="inlineStr">
        <is>
          <t>RESP_MA</t>
        </is>
      </c>
      <c r="N7" s="2" t="n">
        <v>0.9</v>
      </c>
    </row>
    <row r="8">
      <c r="A8" s="2" t="inlineStr">
        <is>
          <t>MR7</t>
        </is>
      </c>
      <c r="B8" s="2" t="n">
        <v>7</v>
      </c>
      <c r="C8" s="2" t="inlineStr">
        <is>
          <t>ALL</t>
        </is>
      </c>
      <c r="D8" s="2" t="inlineStr">
        <is>
          <t>[]</t>
        </is>
      </c>
      <c r="E8" s="2" t="inlineStr">
        <is>
          <t>[{"fact": "vision.transient_or_recovered", "op": "==", "value": true}]</t>
        </is>
      </c>
      <c r="F8" s="2" t="inlineStr">
        <is>
          <t>[{"fact": "specialist.oph_recent_favorable", "op": "==", "value": false}]</t>
        </is>
      </c>
      <c r="G8" s="2" t="inlineStr">
        <is>
          <t>FIN_E</t>
        </is>
      </c>
      <c r="H8" s="2" t="inlineStr">
        <is>
          <t>APTE TEMPORAIRE (prudence, attente avis)</t>
        </is>
      </c>
      <c r="I8" s="2" t="inlineStr">
        <is>
          <t>6 mois</t>
        </is>
      </c>
      <c r="J8" s="2" t="inlineStr">
        <is>
          <t>[{"type": "require_specialist", "value": "ophtalmologue"}, {"type": "show_snippet", "key": "RESP_MA"}]</t>
        </is>
      </c>
      <c r="K8" s="2" t="inlineStr">
        <is>
          <t>[{"type": "need", "value": "bilan_ophtalmo_recent_favorable"}]</t>
        </is>
      </c>
      <c r="L8" s="2" t="inlineStr">
        <is>
          <t>Trouble visuel récupéré : possible aptitude temporaire seulement si bilan oph récent favorable ; sinon attente d’avis.</t>
        </is>
      </c>
      <c r="M8" s="2" t="inlineStr">
        <is>
          <t>RESP_MA</t>
        </is>
      </c>
      <c r="N8" s="2" t="n">
        <v>0.8</v>
      </c>
    </row>
    <row r="9">
      <c r="A9" s="2" t="inlineStr">
        <is>
          <t>MR8</t>
        </is>
      </c>
      <c r="B9" s="2" t="n">
        <v>8</v>
      </c>
      <c r="C9" s="2" t="inlineStr">
        <is>
          <t>ALL</t>
        </is>
      </c>
      <c r="D9" s="2" t="inlineStr">
        <is>
          <t>[]</t>
        </is>
      </c>
      <c r="E9" s="2" t="inlineStr">
        <is>
          <t>[{"fact": "cognition.neglect_spatial", "op": "==", "value": true}, {"fact": "cognition.attention_impairment", "op": "==", "value": true}, {"fact": "cognition.executive_judgement_impairment", "op": "==", "value": true}, {"fact": "cognition.cognitive_slowing", "op": "==", "value": true}]</t>
        </is>
      </c>
      <c r="F9" s="2" t="inlineStr">
        <is>
          <t>[]</t>
        </is>
      </c>
      <c r="G9" s="2" t="inlineStr">
        <is>
          <t>FIN_C</t>
        </is>
      </c>
      <c r="H9" s="2" t="inlineStr">
        <is>
          <t>INAPTE + ÉVAL COG</t>
        </is>
      </c>
      <c r="I9" s="2" t="inlineStr">
        <is>
          <t>DUREE_INAPTE_TEMP</t>
        </is>
      </c>
      <c r="J9" s="2" t="inlineStr">
        <is>
          <t>[{"type": "require_evaluation", "value": "bilan_neuropsychologique"}, {"type": "maybe", "value": "test_psychotechnique"}, {"type": "maybe", "value": "test_conduite"}]</t>
        </is>
      </c>
      <c r="K9" s="2" t="inlineStr">
        <is>
          <t>[{"type": "need", "value": "bilan_neuropsy"}]</t>
        </is>
      </c>
      <c r="L9" s="2" t="inlineStr">
        <is>
          <t>Troubles cognitifs/négligence/exécutif : inaptitude temporaire avec évaluation neurocognitive/test conduite.</t>
        </is>
      </c>
      <c r="M9" s="2" t="inlineStr">
        <is>
          <t>RESP_MA</t>
        </is>
      </c>
      <c r="N9" s="2" t="n">
        <v>0.9</v>
      </c>
    </row>
    <row r="10">
      <c r="A10" s="2" t="inlineStr">
        <is>
          <t>MR9</t>
        </is>
      </c>
      <c r="B10" s="2" t="n">
        <v>9</v>
      </c>
      <c r="C10" s="2" t="inlineStr">
        <is>
          <t>ALL</t>
        </is>
      </c>
      <c r="D10" s="2" t="inlineStr">
        <is>
          <t>[{"fact": "language.major_impairment", "op": "==", "value": true}]</t>
        </is>
      </c>
      <c r="E10" s="2" t="inlineStr">
        <is>
          <t>[]</t>
        </is>
      </c>
      <c r="F10" s="2" t="inlineStr">
        <is>
          <t>[]</t>
        </is>
      </c>
      <c r="G10" s="2" t="inlineStr">
        <is>
          <t>FIN_A</t>
        </is>
      </c>
      <c r="H10" s="2" t="inlineStr">
        <is>
          <t>INAPTE TEMPORAIRE/DEFINITIVE (selon sévérité)</t>
        </is>
      </c>
      <c r="I10" s="2" t="inlineStr">
        <is>
          <t>DUREE_INAPTE_TEMP</t>
        </is>
      </c>
      <c r="J10" s="2" t="inlineStr">
        <is>
          <t>[{"type": "require_specialist", "value": "neurologue"}]</t>
        </is>
      </c>
      <c r="K10" s="2" t="inlineStr">
        <is>
          <t>[{"type": "need", "value": "evaluation_langage"}]</t>
        </is>
      </c>
      <c r="L10" s="2" t="inlineStr">
        <is>
          <t>Troubles du langage majeurs empêchant compréhension/communication utile à la conduite.</t>
        </is>
      </c>
      <c r="M10" s="2" t="inlineStr">
        <is>
          <t>RESP_MA</t>
        </is>
      </c>
      <c r="N10" s="2" t="n">
        <v>0.75</v>
      </c>
    </row>
    <row r="11">
      <c r="A11" s="2" t="inlineStr">
        <is>
          <t>MR10</t>
        </is>
      </c>
      <c r="B11" s="2" t="n">
        <v>10</v>
      </c>
      <c r="C11" s="2" t="inlineStr">
        <is>
          <t>ALL</t>
        </is>
      </c>
      <c r="D11" s="2" t="inlineStr">
        <is>
          <t>[{"fact": "seizure.post_stroke", "op": "==", "value": true}]</t>
        </is>
      </c>
      <c r="E11" s="2" t="inlineStr">
        <is>
          <t>[]</t>
        </is>
      </c>
      <c r="F11" s="2" t="inlineStr">
        <is>
          <t>[]</t>
        </is>
      </c>
      <c r="G11" s="2" t="inlineStr">
        <is>
          <t>FIN_A</t>
        </is>
      </c>
      <c r="H11" s="2" t="inlineStr">
        <is>
          <t>INAPTE TEMPORAIRE (module épilepsie)</t>
        </is>
      </c>
      <c r="I11" s="2" t="inlineStr">
        <is>
          <t>DUREE_INAPTE_TEMP</t>
        </is>
      </c>
      <c r="J11" s="2" t="inlineStr">
        <is>
          <t>[{"type": "route_to_module", "value": "EPILEPSIE"}]</t>
        </is>
      </c>
      <c r="K11" s="2" t="inlineStr">
        <is>
          <t>[{"type": "need", "value": "details_crises"}]</t>
        </is>
      </c>
      <c r="L11" s="2" t="inlineStr">
        <is>
          <t>Crises post-AVC : basculer vers module épilepsie ; inaptitude temporaire en attendant.</t>
        </is>
      </c>
      <c r="M11" s="2" t="inlineStr">
        <is>
          <t>RESP_MA</t>
        </is>
      </c>
      <c r="N11" s="2" t="n">
        <v>0.9</v>
      </c>
    </row>
    <row r="12">
      <c r="A12" s="2" t="inlineStr">
        <is>
          <t>MR11</t>
        </is>
      </c>
      <c r="B12" s="2" t="n">
        <v>11</v>
      </c>
      <c r="C12" s="2" t="inlineStr">
        <is>
          <t>ALL</t>
        </is>
      </c>
      <c r="D12" s="2" t="inlineStr">
        <is>
          <t>[{"fact": "treatment.affects_vigilance", "op": "==", "value": true}]</t>
        </is>
      </c>
      <c r="E12" s="2" t="inlineStr">
        <is>
          <t>[]</t>
        </is>
      </c>
      <c r="F12" s="2" t="inlineStr">
        <is>
          <t>[]</t>
        </is>
      </c>
      <c r="G12" s="2" t="inlineStr">
        <is>
          <t>FIN_D</t>
        </is>
      </c>
      <c r="H12" s="2" t="inlineStr">
        <is>
          <t>APTE TEMPORAIRE SOUS CONDITIONS</t>
        </is>
      </c>
      <c r="I12" s="2" t="inlineStr">
        <is>
          <t>DUREE_APTE_TEMP</t>
        </is>
      </c>
      <c r="J12" s="2" t="inlineStr">
        <is>
          <t>[{"type": "recommend", "value": "adapter_traitement"}, {"type": "require_followup", "value": "tolérance_traitement"}]</t>
        </is>
      </c>
      <c r="K12" s="2" t="inlineStr">
        <is>
          <t>[{"type": "need", "value": "liste_traitements_et_EI"}]</t>
        </is>
      </c>
      <c r="L12" s="2" t="inlineStr">
        <is>
          <t>Traitement avec risque vigilance : possible aptitude temporaire sous conditions (adaptation + tolérance).</t>
        </is>
      </c>
      <c r="M12" s="2" t="inlineStr">
        <is>
          <t>RESP_MA</t>
        </is>
      </c>
      <c r="N12" s="2" t="n">
        <v>0.7</v>
      </c>
    </row>
    <row r="13">
      <c r="A13" s="2" t="inlineStr">
        <is>
          <t>MR12</t>
        </is>
      </c>
      <c r="B13" s="2" t="n">
        <v>12</v>
      </c>
      <c r="C13" s="2" t="inlineStr">
        <is>
          <t>ALL</t>
        </is>
      </c>
      <c r="D13" s="2" t="inlineStr">
        <is>
          <t>[{"fact": "specialist.neuro_recent_favorable", "op": "==", "value": false}]</t>
        </is>
      </c>
      <c r="E13" s="2" t="inlineStr">
        <is>
          <t>[]</t>
        </is>
      </c>
      <c r="F13" s="2" t="inlineStr">
        <is>
          <t>[]</t>
        </is>
      </c>
      <c r="G13" s="2" t="inlineStr">
        <is>
          <t>FIN_E</t>
        </is>
      </c>
      <c r="H13" s="2" t="inlineStr">
        <is>
          <t>APTE TEMPORAIRE courte (attente avis)</t>
        </is>
      </c>
      <c r="I13" s="2" t="inlineStr">
        <is>
          <t>6 mois</t>
        </is>
      </c>
      <c r="J13" s="2" t="inlineStr">
        <is>
          <t>[{"type": "require_specialist", "value": "neurologue"}]</t>
        </is>
      </c>
      <c r="K13" s="2" t="inlineStr">
        <is>
          <t>[{"type": "need", "value": "avis_neuro_recent"}]</t>
        </is>
      </c>
      <c r="L13" s="2" t="inlineStr">
        <is>
          <t>Sans avis neuro récent compatible : prudence, aptitude temporaire courte ou inaptitude selon contexte.</t>
        </is>
      </c>
      <c r="M13" s="2" t="inlineStr">
        <is>
          <t>RESP_MA</t>
        </is>
      </c>
      <c r="N13" s="2" t="n">
        <v>0.65</v>
      </c>
    </row>
    <row r="14">
      <c r="A14" s="2" t="inlineStr">
        <is>
          <t>MR13</t>
        </is>
      </c>
      <c r="B14" s="2" t="n">
        <v>13</v>
      </c>
      <c r="C14" s="2" t="inlineStr">
        <is>
          <t>ALL</t>
        </is>
      </c>
      <c r="D14" s="2" t="inlineStr">
        <is>
          <t>[{"fact": "workup.etiology_completed", "op": "==", "value": false}]</t>
        </is>
      </c>
      <c r="E14" s="2" t="inlineStr">
        <is>
          <t>[]</t>
        </is>
      </c>
      <c r="F14" s="2" t="inlineStr">
        <is>
          <t>[]</t>
        </is>
      </c>
      <c r="G14" s="2" t="inlineStr">
        <is>
          <t>FIN_E</t>
        </is>
      </c>
      <c r="H14" s="2" t="inlineStr">
        <is>
          <t>APTE TEMPORAIRE courte (bilan en cours)</t>
        </is>
      </c>
      <c r="I14" s="2" t="inlineStr">
        <is>
          <t>6 mois</t>
        </is>
      </c>
      <c r="J14" s="2" t="inlineStr">
        <is>
          <t>[{"type": "recommend", "value": "finaliser_bilan_etiologique"}]</t>
        </is>
      </c>
      <c r="K14" s="2" t="inlineStr">
        <is>
          <t>[{"type": "need", "value": "plan_bilan_etiologique"}]</t>
        </is>
      </c>
      <c r="L14" s="2" t="inlineStr">
        <is>
          <t>Bilan étiologique non terminé : prudence (risque/discordances).</t>
        </is>
      </c>
      <c r="M14" s="2" t="inlineStr">
        <is>
          <t>STABILISATION;RESP_MA</t>
        </is>
      </c>
      <c r="N14" s="2" t="n">
        <v>0.7</v>
      </c>
    </row>
    <row r="15">
      <c r="A15" s="2" t="inlineStr">
        <is>
          <t>MR14</t>
        </is>
      </c>
      <c r="B15" s="2" t="n">
        <v>14</v>
      </c>
      <c r="C15" s="2" t="inlineStr">
        <is>
          <t>ALL</t>
        </is>
      </c>
      <c r="D15" s="2" t="inlineStr">
        <is>
          <t>[]</t>
        </is>
      </c>
      <c r="E15" s="2" t="inlineStr">
        <is>
          <t>[{"fact": "uncertainty.high", "op": "==", "value": true}, {"fact": "evidence.discordant", "op": "==", "value": true}]</t>
        </is>
      </c>
      <c r="F15" s="2" t="inlineStr">
        <is>
          <t>[]</t>
        </is>
      </c>
      <c r="G15" s="2" t="inlineStr">
        <is>
          <t>CASE6</t>
        </is>
      </c>
      <c r="H15" s="2" t="inlineStr">
        <is>
          <t>RENVOI COMMISSION (case 6)</t>
        </is>
      </c>
      <c r="I15" s="2" t="inlineStr">
        <is>
          <t>-</t>
        </is>
      </c>
      <c r="J15" s="2" t="inlineStr">
        <is>
          <t>[{"type": "recommend", "value": "case6_commission"}, {"type": "show_snippet", "key": "CASE6"}]</t>
        </is>
      </c>
      <c r="K15" s="2" t="inlineStr">
        <is>
          <t>[{"type": "need", "value": "motif_incertitude"}]</t>
        </is>
      </c>
      <c r="L15" s="2" t="inlineStr">
        <is>
          <t>Cas complexe/incertain ou éléments discordants : option sécurité (commission).</t>
        </is>
      </c>
      <c r="M15" s="2" t="inlineStr">
        <is>
          <t>CASE6;RESP_MA</t>
        </is>
      </c>
      <c r="N15" s="2" t="n">
        <v>0.8</v>
      </c>
    </row>
    <row r="16">
      <c r="A16" s="2" t="inlineStr">
        <is>
          <t>MR15</t>
        </is>
      </c>
      <c r="B16" s="2" t="n">
        <v>15</v>
      </c>
      <c r="C16" s="2" t="inlineStr">
        <is>
          <t>G1</t>
        </is>
      </c>
      <c r="D16" s="2" t="inlineStr">
        <is>
          <t>[{"fact": "etiology.fop", "op": "==", "value": true}, {"fact": "patient.young", "op": "==", "value": true}, {"fact": "clinical.full_recovery", "op": "==", "value": true}]</t>
        </is>
      </c>
      <c r="E16" s="2" t="inlineStr">
        <is>
          <t>[]</t>
        </is>
      </c>
      <c r="F16" s="2" t="inlineStr">
        <is>
          <t>[]</t>
        </is>
      </c>
      <c r="G16" s="2" t="inlineStr">
        <is>
          <t>FIN_D</t>
        </is>
      </c>
      <c r="H16" s="2" t="inlineStr">
        <is>
          <t>APTE TEMPORAIRE (FOP)</t>
        </is>
      </c>
      <c r="I16" s="2" t="inlineStr">
        <is>
          <t>6 mois</t>
        </is>
      </c>
      <c r="J16" s="2" t="inlineStr">
        <is>
          <t>[{"type": "ask", "value": "intervention_FOP_prevue?"}, {"type": "recommend", "value": "recontrole_6m_et_12m"}]</t>
        </is>
      </c>
      <c r="K16" s="2" t="inlineStr">
        <is>
          <t>[{"type": "need", "value": "avis_cardio_ou_neuro_sur_FOP"}]</t>
        </is>
      </c>
      <c r="L16" s="2" t="inlineStr">
        <is>
          <t>AVC sur FOP sujet jeune : prudence 1ère année ; aptitude temporaire 6 mois renouvelable une fois.</t>
        </is>
      </c>
      <c r="M16" s="2" t="inlineStr">
        <is>
          <t>RESP_MA</t>
        </is>
      </c>
      <c r="N16" s="2" t="n">
        <v>0.75</v>
      </c>
    </row>
    <row r="17">
      <c r="A17" s="2" t="inlineStr">
        <is>
          <t>MR99</t>
        </is>
      </c>
      <c r="B17" s="2" t="n">
        <v>99</v>
      </c>
      <c r="C17" s="2" t="inlineStr">
        <is>
          <t>ALL</t>
        </is>
      </c>
      <c r="D17" s="2" t="inlineStr">
        <is>
          <t>[{"fact": "no_stop_criteria", "op": "==", "value": true}]</t>
        </is>
      </c>
      <c r="E17" s="2" t="inlineStr">
        <is>
          <t>[]</t>
        </is>
      </c>
      <c r="F17" s="2" t="inlineStr">
        <is>
          <t>[]</t>
        </is>
      </c>
      <c r="G17" s="2" t="inlineStr">
        <is>
          <t>FIN_D</t>
        </is>
      </c>
      <c r="H17" s="2" t="inlineStr">
        <is>
          <t>APTE TEMPORAIRE (standard)</t>
        </is>
      </c>
      <c r="I17" s="2" t="inlineStr">
        <is>
          <t>DUREE_APTE_TEMP</t>
        </is>
      </c>
      <c r="J17" s="2" t="inlineStr">
        <is>
          <t>[{"type": "show_snippet", "key": "PAS_DEFINITIF"}]</t>
        </is>
      </c>
      <c r="K17" s="2" t="inlineStr">
        <is>
          <t>[{"type": "need", "value": "synthese_examen"}]</t>
        </is>
      </c>
      <c r="L17" s="2" t="inlineStr">
        <is>
          <t>Si aucun critère STOP déclenché : aptitude temporaire avec conditions/suivi.</t>
        </is>
      </c>
      <c r="M17" s="2" t="inlineStr">
        <is>
          <t>PAS_DEFINITIF</t>
        </is>
      </c>
      <c r="N17" s="2" t="n">
        <v>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46" customWidth="1" min="3" max="3"/>
    <col width="18" customWidth="1" min="4" max="4"/>
    <col width="26" customWidth="1" min="5" max="5"/>
  </cols>
  <sheetData>
    <row r="1">
      <c r="A1" s="1" t="inlineStr">
        <is>
          <t>Fact key</t>
        </is>
      </c>
      <c r="B1" s="1" t="inlineStr">
        <is>
          <t>Type</t>
        </is>
      </c>
      <c r="C1" s="1" t="inlineStr">
        <is>
          <t>Description</t>
        </is>
      </c>
      <c r="D1" s="1" t="inlineStr">
        <is>
          <t>Source (node/field)</t>
        </is>
      </c>
      <c r="E1" s="1" t="inlineStr">
        <is>
          <t>Allowed values / notes</t>
        </is>
      </c>
    </row>
    <row r="2">
      <c r="A2" s="2" t="inlineStr">
        <is>
          <t>event.within_6_months</t>
        </is>
      </c>
      <c r="B2" s="2" t="inlineStr">
        <is>
          <t>bool</t>
        </is>
      </c>
      <c r="C2" s="2" t="inlineStr">
        <is>
          <t>Évènement &lt; 6 mois</t>
        </is>
      </c>
      <c r="D2" s="2" t="inlineStr">
        <is>
          <t>Q0</t>
        </is>
      </c>
      <c r="E2" s="2" t="inlineStr">
        <is>
          <t>True/False</t>
        </is>
      </c>
    </row>
    <row r="3">
      <c r="A3" s="2" t="inlineStr">
        <is>
          <t>clinical.not_stable_or_worsening</t>
        </is>
      </c>
      <c r="B3" s="2" t="inlineStr">
        <is>
          <t>bool</t>
        </is>
      </c>
      <c r="C3" s="2" t="inlineStr">
        <is>
          <t>Évolution non stabilisée/aggravation récente</t>
        </is>
      </c>
      <c r="D3" s="2" t="inlineStr">
        <is>
          <t>Q6</t>
        </is>
      </c>
      <c r="E3" s="2" t="inlineStr">
        <is>
          <t>True/False</t>
        </is>
      </c>
    </row>
    <row r="4">
      <c r="A4" s="2" t="inlineStr">
        <is>
          <t>rehab.in_progress_for_deficit</t>
        </is>
      </c>
      <c r="B4" s="2" t="inlineStr">
        <is>
          <t>bool</t>
        </is>
      </c>
      <c r="C4" s="2" t="inlineStr">
        <is>
          <t>Rééducation en cours pour déficit non stabilisé</t>
        </is>
      </c>
      <c r="D4" s="2" t="inlineStr">
        <is>
          <t>Q7</t>
        </is>
      </c>
      <c r="E4" s="2" t="inlineStr">
        <is>
          <t>True/False</t>
        </is>
      </c>
    </row>
    <row r="5">
      <c r="A5" s="2" t="inlineStr">
        <is>
          <t>neuro.major_motor_deficit</t>
        </is>
      </c>
      <c r="B5" s="2" t="inlineStr">
        <is>
          <t>bool</t>
        </is>
      </c>
      <c r="C5" s="2" t="inlineStr">
        <is>
          <t>Déficit moteur/coordination significatif persistant</t>
        </is>
      </c>
      <c r="D5" s="2" t="inlineStr">
        <is>
          <t>Q2(+Q2a)</t>
        </is>
      </c>
      <c r="E5" s="2" t="inlineStr">
        <is>
          <t>True/False</t>
        </is>
      </c>
    </row>
    <row r="6">
      <c r="A6" s="2" t="inlineStr">
        <is>
          <t>vision.hemianopsia_persistent</t>
        </is>
      </c>
      <c r="B6" s="2" t="inlineStr">
        <is>
          <t>bool</t>
        </is>
      </c>
      <c r="C6" s="2" t="inlineStr">
        <is>
          <t>Hémianopsie persistante</t>
        </is>
      </c>
      <c r="D6" s="2" t="inlineStr">
        <is>
          <t>Q3a</t>
        </is>
      </c>
      <c r="E6" s="2" t="inlineStr">
        <is>
          <t>True/False</t>
        </is>
      </c>
    </row>
    <row r="7">
      <c r="A7" s="2" t="inlineStr">
        <is>
          <t>vision.quadranopsia</t>
        </is>
      </c>
      <c r="B7" s="2" t="inlineStr">
        <is>
          <t>bool</t>
        </is>
      </c>
      <c r="C7" s="2" t="inlineStr">
        <is>
          <t>Quadranopsie</t>
        </is>
      </c>
      <c r="D7" s="2" t="inlineStr">
        <is>
          <t>Q3a</t>
        </is>
      </c>
      <c r="E7" s="2" t="inlineStr">
        <is>
          <t>True/False</t>
        </is>
      </c>
    </row>
    <row r="8">
      <c r="A8" s="2" t="inlineStr">
        <is>
          <t>vision.diplopia_persistent</t>
        </is>
      </c>
      <c r="B8" s="2" t="inlineStr">
        <is>
          <t>bool</t>
        </is>
      </c>
      <c r="C8" s="2" t="inlineStr">
        <is>
          <t>Diplopie persistante</t>
        </is>
      </c>
      <c r="D8" s="2" t="inlineStr">
        <is>
          <t>Q3a</t>
        </is>
      </c>
      <c r="E8" s="2" t="inlineStr">
        <is>
          <t>True/False</t>
        </is>
      </c>
    </row>
    <row r="9">
      <c r="A9" s="2" t="inlineStr">
        <is>
          <t>vision.oculomotor_instability</t>
        </is>
      </c>
      <c r="B9" s="2" t="inlineStr">
        <is>
          <t>bool</t>
        </is>
      </c>
      <c r="C9" s="2" t="inlineStr">
        <is>
          <t>Troubles oculomoteurs/nystagmus/saccades pathologiques</t>
        </is>
      </c>
      <c r="D9" s="2" t="inlineStr">
        <is>
          <t>Q3a</t>
        </is>
      </c>
      <c r="E9" s="2" t="inlineStr">
        <is>
          <t>True/False</t>
        </is>
      </c>
    </row>
    <row r="10">
      <c r="A10" s="2" t="inlineStr">
        <is>
          <t>vision.transient_or_recovered</t>
        </is>
      </c>
      <c r="B10" s="2" t="inlineStr">
        <is>
          <t>bool</t>
        </is>
      </c>
      <c r="C10" s="2" t="inlineStr">
        <is>
          <t>Trouble visuel transitoire ou récupéré</t>
        </is>
      </c>
      <c r="D10" s="2" t="inlineStr">
        <is>
          <t>Q3a</t>
        </is>
      </c>
      <c r="E10" s="2" t="inlineStr">
        <is>
          <t>True/False</t>
        </is>
      </c>
    </row>
    <row r="11">
      <c r="A11" s="2" t="inlineStr">
        <is>
          <t>specialist.oph_recent_favorable</t>
        </is>
      </c>
      <c r="B11" s="2" t="inlineStr">
        <is>
          <t>bool</t>
        </is>
      </c>
      <c r="C11" s="2" t="inlineStr">
        <is>
          <t>Bilan ophtalmo récent favorable</t>
        </is>
      </c>
      <c r="D11" s="2" t="inlineStr">
        <is>
          <t>Doc</t>
        </is>
      </c>
      <c r="E11" s="2" t="inlineStr">
        <is>
          <t>True/False/Unknown</t>
        </is>
      </c>
    </row>
    <row r="12">
      <c r="A12" s="2" t="inlineStr">
        <is>
          <t>cognition.neglect_spatial</t>
        </is>
      </c>
      <c r="B12" s="2" t="inlineStr">
        <is>
          <t>bool</t>
        </is>
      </c>
      <c r="C12" s="2" t="inlineStr">
        <is>
          <t>Négligence spatiale</t>
        </is>
      </c>
      <c r="D12" s="2" t="inlineStr">
        <is>
          <t>Q4a</t>
        </is>
      </c>
      <c r="E12" s="2" t="inlineStr">
        <is>
          <t>True/False</t>
        </is>
      </c>
    </row>
    <row r="13">
      <c r="A13" s="2" t="inlineStr">
        <is>
          <t>cognition.attention_impairment</t>
        </is>
      </c>
      <c r="B13" s="2" t="inlineStr">
        <is>
          <t>bool</t>
        </is>
      </c>
      <c r="C13" s="2" t="inlineStr">
        <is>
          <t>Trouble attentionnel/distractibilité</t>
        </is>
      </c>
      <c r="D13" s="2" t="inlineStr">
        <is>
          <t>Q4a</t>
        </is>
      </c>
      <c r="E13" s="2" t="inlineStr">
        <is>
          <t>True/False</t>
        </is>
      </c>
    </row>
    <row r="14">
      <c r="A14" s="2" t="inlineStr">
        <is>
          <t>cognition.cognitive_slowing</t>
        </is>
      </c>
      <c r="B14" s="2" t="inlineStr">
        <is>
          <t>bool</t>
        </is>
      </c>
      <c r="C14" s="2" t="inlineStr">
        <is>
          <t>Ralentissement cognitif</t>
        </is>
      </c>
      <c r="D14" s="2" t="inlineStr">
        <is>
          <t>Q4a</t>
        </is>
      </c>
      <c r="E14" s="2" t="inlineStr">
        <is>
          <t>True/False</t>
        </is>
      </c>
    </row>
    <row r="15">
      <c r="A15" s="2" t="inlineStr">
        <is>
          <t>cognition.executive_judgement_impairment</t>
        </is>
      </c>
      <c r="B15" s="2" t="inlineStr">
        <is>
          <t>bool</t>
        </is>
      </c>
      <c r="C15" s="2" t="inlineStr">
        <is>
          <t>Trouble exécutif/jugement</t>
        </is>
      </c>
      <c r="D15" s="2" t="inlineStr">
        <is>
          <t>Q4a</t>
        </is>
      </c>
      <c r="E15" s="2" t="inlineStr">
        <is>
          <t>True/False</t>
        </is>
      </c>
    </row>
    <row r="16">
      <c r="A16" s="2" t="inlineStr">
        <is>
          <t>language.major_impairment</t>
        </is>
      </c>
      <c r="B16" s="2" t="inlineStr">
        <is>
          <t>bool</t>
        </is>
      </c>
      <c r="C16" s="2" t="inlineStr">
        <is>
          <t>Troubles du langage majeurs</t>
        </is>
      </c>
      <c r="D16" s="2" t="inlineStr">
        <is>
          <t>Q5</t>
        </is>
      </c>
      <c r="E16" s="2" t="inlineStr">
        <is>
          <t>True/False</t>
        </is>
      </c>
    </row>
    <row r="17">
      <c r="A17" s="2" t="inlineStr">
        <is>
          <t>seizure.post_stroke</t>
        </is>
      </c>
      <c r="B17" s="2" t="inlineStr">
        <is>
          <t>bool</t>
        </is>
      </c>
      <c r="C17" s="2" t="inlineStr">
        <is>
          <t>Crises d’épilepsie post-AVC</t>
        </is>
      </c>
      <c r="D17" s="2" t="inlineStr">
        <is>
          <t>Q8</t>
        </is>
      </c>
      <c r="E17" s="2" t="inlineStr">
        <is>
          <t>True/False</t>
        </is>
      </c>
    </row>
    <row r="18">
      <c r="A18" s="2" t="inlineStr">
        <is>
          <t>treatment.affects_vigilance</t>
        </is>
      </c>
      <c r="B18" s="2" t="inlineStr">
        <is>
          <t>bool</t>
        </is>
      </c>
      <c r="C18" s="2" t="inlineStr">
        <is>
          <t>Traitements à risque vigilance</t>
        </is>
      </c>
      <c r="D18" s="2" t="inlineStr">
        <is>
          <t>Q9</t>
        </is>
      </c>
      <c r="E18" s="2" t="inlineStr">
        <is>
          <t>True/False</t>
        </is>
      </c>
    </row>
    <row r="19">
      <c r="A19" s="2" t="inlineStr">
        <is>
          <t>specialist.neuro_recent_favorable</t>
        </is>
      </c>
      <c r="B19" s="2" t="inlineStr">
        <is>
          <t>bool</t>
        </is>
      </c>
      <c r="C19" s="2" t="inlineStr">
        <is>
          <t>Avis neuro récent compatible conduite</t>
        </is>
      </c>
      <c r="D19" s="2" t="inlineStr">
        <is>
          <t>Q10</t>
        </is>
      </c>
      <c r="E19" s="2" t="inlineStr">
        <is>
          <t>True/False/Unknown</t>
        </is>
      </c>
    </row>
    <row r="20">
      <c r="A20" s="2" t="inlineStr">
        <is>
          <t>workup.etiology_completed</t>
        </is>
      </c>
      <c r="B20" s="2" t="inlineStr">
        <is>
          <t>bool</t>
        </is>
      </c>
      <c r="C20" s="2" t="inlineStr">
        <is>
          <t>Bilan étiologique terminé</t>
        </is>
      </c>
      <c r="D20" s="2" t="inlineStr">
        <is>
          <t>Doc</t>
        </is>
      </c>
      <c r="E20" s="2" t="inlineStr">
        <is>
          <t>True/False/Unknown</t>
        </is>
      </c>
    </row>
    <row r="21">
      <c r="A21" s="2" t="inlineStr">
        <is>
          <t>uncertainty.high</t>
        </is>
      </c>
      <c r="B21" s="2" t="inlineStr">
        <is>
          <t>bool</t>
        </is>
      </c>
      <c r="C21" s="2" t="inlineStr">
        <is>
          <t>Incertitude élevée (manque éléments majeurs)</t>
        </is>
      </c>
      <c r="D21" s="2" t="inlineStr">
        <is>
          <t>System</t>
        </is>
      </c>
      <c r="E21" s="2" t="inlineStr">
        <is>
          <t>True/False</t>
        </is>
      </c>
    </row>
    <row r="22">
      <c r="A22" s="2" t="inlineStr">
        <is>
          <t>evidence.discordant</t>
        </is>
      </c>
      <c r="B22" s="2" t="inlineStr">
        <is>
          <t>bool</t>
        </is>
      </c>
      <c r="C22" s="2" t="inlineStr">
        <is>
          <t>Éléments discordants (avis/clinique/tests)</t>
        </is>
      </c>
      <c r="D22" s="2" t="inlineStr">
        <is>
          <t>System</t>
        </is>
      </c>
      <c r="E22" s="2" t="inlineStr">
        <is>
          <t>True/False</t>
        </is>
      </c>
    </row>
    <row r="23">
      <c r="A23" s="2" t="inlineStr">
        <is>
          <t>etiology.fop</t>
        </is>
      </c>
      <c r="B23" s="2" t="inlineStr">
        <is>
          <t>bool</t>
        </is>
      </c>
      <c r="C23" s="2" t="inlineStr">
        <is>
          <t>Étiologie FOP</t>
        </is>
      </c>
      <c r="D23" s="2" t="inlineStr">
        <is>
          <t>Q1+Doc</t>
        </is>
      </c>
      <c r="E23" s="2" t="inlineStr">
        <is>
          <t>True/False</t>
        </is>
      </c>
    </row>
    <row r="24">
      <c r="A24" s="2" t="inlineStr">
        <is>
          <t>patient.young</t>
        </is>
      </c>
      <c r="B24" s="2" t="inlineStr">
        <is>
          <t>bool</t>
        </is>
      </c>
      <c r="C24" s="2" t="inlineStr">
        <is>
          <t>Sujet jeune (heuristique)</t>
        </is>
      </c>
      <c r="D24" s="2" t="inlineStr">
        <is>
          <t>Age</t>
        </is>
      </c>
      <c r="E24" s="2" t="inlineStr">
        <is>
          <t>True/False</t>
        </is>
      </c>
    </row>
    <row r="25">
      <c r="A25" s="2" t="inlineStr">
        <is>
          <t>clinical.full_recovery</t>
        </is>
      </c>
      <c r="B25" s="2" t="inlineStr">
        <is>
          <t>bool</t>
        </is>
      </c>
      <c r="C25" s="2" t="inlineStr">
        <is>
          <t>Récupération complète documentée</t>
        </is>
      </c>
      <c r="D25" s="2" t="inlineStr">
        <is>
          <t>Exam+Docs</t>
        </is>
      </c>
      <c r="E25" s="2" t="inlineStr">
        <is>
          <t>True/False/Unknown</t>
        </is>
      </c>
    </row>
    <row r="26">
      <c r="A26" s="2" t="inlineStr">
        <is>
          <t>no_stop_criteria</t>
        </is>
      </c>
      <c r="B26" s="2" t="inlineStr">
        <is>
          <t>bool</t>
        </is>
      </c>
      <c r="C26" s="2" t="inlineStr">
        <is>
          <t>Aucun STOP déclenché par l’arbre</t>
        </is>
      </c>
      <c r="D26" s="2" t="inlineStr">
        <is>
          <t>Engine</t>
        </is>
      </c>
      <c r="E26" s="2" t="inlineStr">
        <is>
          <t>True/False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2026-02-26T09:38:59Z</dcterms:created>
  <dcterms:modified xmlns:dcterms="http://purl.org/dc/terms/" xmlns:xsi="http://www.w3.org/2001/XMLSchema-instance" xsi:type="dcterms:W3CDTF">2026-02-26T10:49:03Z</dcterms:modified>
</cp:coreProperties>
</file>